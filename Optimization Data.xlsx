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ACHIN CHANDRAN C\Downloads\"/>
    </mc:Choice>
  </mc:AlternateContent>
  <xr:revisionPtr revIDLastSave="0" documentId="13_ncr:1_{36E41966-7098-4F13-AC03-39CF52A489D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5" l="1"/>
  <c r="P3" i="5"/>
  <c r="P4" i="5"/>
  <c r="P5" i="5"/>
  <c r="P6" i="5"/>
  <c r="P7" i="5"/>
  <c r="P8" i="5"/>
  <c r="P9" i="5"/>
  <c r="P10" i="5"/>
  <c r="P11" i="5"/>
  <c r="P1" i="5"/>
  <c r="O2" i="5"/>
  <c r="O3" i="5"/>
  <c r="O4" i="5"/>
  <c r="O5" i="5"/>
  <c r="O6" i="5"/>
  <c r="O7" i="5"/>
  <c r="O8" i="5"/>
  <c r="O9" i="5"/>
  <c r="O10" i="5"/>
  <c r="O11" i="5"/>
  <c r="O1" i="5"/>
  <c r="K2" i="5"/>
  <c r="K3" i="5"/>
  <c r="K4" i="5"/>
  <c r="K5" i="5"/>
  <c r="K6" i="5"/>
  <c r="K7" i="5"/>
  <c r="K8" i="5"/>
  <c r="K9" i="5"/>
  <c r="K10" i="5"/>
  <c r="K11" i="5"/>
  <c r="K12" i="5"/>
  <c r="K1" i="5"/>
  <c r="L2" i="5"/>
  <c r="L3" i="5"/>
  <c r="L4" i="5"/>
  <c r="L5" i="5"/>
  <c r="L6" i="5"/>
  <c r="L7" i="5"/>
  <c r="L8" i="5"/>
  <c r="L9" i="5"/>
  <c r="L10" i="5"/>
  <c r="L11" i="5"/>
  <c r="L12" i="5"/>
  <c r="L1" i="5"/>
  <c r="H2" i="5"/>
  <c r="H3" i="5"/>
  <c r="H4" i="5"/>
  <c r="H5" i="5"/>
  <c r="H6" i="5"/>
  <c r="H7" i="5"/>
  <c r="H8" i="5"/>
  <c r="H9" i="5"/>
  <c r="H10" i="5"/>
  <c r="H11" i="5"/>
  <c r="H12" i="5"/>
  <c r="H13" i="5"/>
  <c r="H1" i="5"/>
  <c r="G2" i="5"/>
  <c r="G3" i="5"/>
  <c r="G4" i="5"/>
  <c r="G5" i="5"/>
  <c r="G6" i="5"/>
  <c r="G7" i="5"/>
  <c r="G8" i="5"/>
  <c r="G9" i="5"/>
  <c r="G10" i="5"/>
  <c r="G11" i="5"/>
  <c r="G12" i="5"/>
  <c r="G13" i="5"/>
  <c r="G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" i="5"/>
  <c r="AG5" i="1" l="1"/>
  <c r="AG6" i="1"/>
  <c r="AG7" i="1"/>
  <c r="AG8" i="1"/>
  <c r="AG4" i="1"/>
</calcChain>
</file>

<file path=xl/sharedStrings.xml><?xml version="1.0" encoding="utf-8"?>
<sst xmlns="http://schemas.openxmlformats.org/spreadsheetml/2006/main" count="275" uniqueCount="78">
  <si>
    <t>Theta_0</t>
  </si>
  <si>
    <t>Coefficient of friction</t>
  </si>
  <si>
    <t>Sigma_{Max}</t>
  </si>
  <si>
    <t>U_{Bar}</t>
  </si>
  <si>
    <t>% Error</t>
  </si>
  <si>
    <t>RF</t>
  </si>
  <si>
    <t>Displacement</t>
  </si>
  <si>
    <t xml:space="preserve">Theta_0 = 3 , f = 0.035 </t>
  </si>
  <si>
    <t>Theta_0 = 2, f = 0.065</t>
  </si>
  <si>
    <t>Offsetting Distance, c = 0</t>
  </si>
  <si>
    <t>Theta_0 = 3.5 , f = 0.0275</t>
  </si>
  <si>
    <t>Theta_0 = 4, f = 0.02</t>
  </si>
  <si>
    <t>Force Vs Displacement Data (sigma_{max}/E = 0.001)</t>
  </si>
  <si>
    <t>Offsetting Distance = 0.5</t>
  </si>
  <si>
    <t>Offsetting Distance = 0</t>
  </si>
  <si>
    <t>Offsetting Distance = 0.3</t>
  </si>
  <si>
    <t>E = 1720 Mpa; Sigma_{Max}/E = 1/1000</t>
  </si>
  <si>
    <t>Theta_0 = 2.5, f = 0.045</t>
  </si>
  <si>
    <t>Offsetting Distance, c = 0.5</t>
  </si>
  <si>
    <t>Theta_0 = 2, f = 0.05</t>
  </si>
  <si>
    <t xml:space="preserve">Theta_0 = 3 , f = </t>
  </si>
  <si>
    <t xml:space="preserve">Theta_0 = 3.5 , f = </t>
  </si>
  <si>
    <t xml:space="preserve">Theta_0 = 2, f = </t>
  </si>
  <si>
    <t>Theta_0 = 2.5, f = 0.0325</t>
  </si>
  <si>
    <t>Theta_0 = 3 , f = 0.0175</t>
  </si>
  <si>
    <t>Offsetting Distance, c = 0.3</t>
  </si>
  <si>
    <t>Theta_0 = 2, f = 0.0575</t>
  </si>
  <si>
    <t>Theta_0 = 2.5, f = 0.032</t>
  </si>
  <si>
    <t xml:space="preserve">Theta_0 = 5, f = </t>
  </si>
  <si>
    <t>Theta_0 = 3.5 , f = 0.0045</t>
  </si>
  <si>
    <t>c = 0.7</t>
  </si>
  <si>
    <t>Normalized Strength (F_{max}/wtE)</t>
  </si>
  <si>
    <t>Theta_0 = 4.5, f = 0.015</t>
  </si>
  <si>
    <t>Theta_0 = 5, f = 0.0003(sigma_m = 2.256)</t>
  </si>
  <si>
    <t>Theta_0 = 5.5, f = 0.0001</t>
  </si>
  <si>
    <t>Theta_0 = 2.5, f = 0.008</t>
  </si>
  <si>
    <t>Theta_0 = 3, f = 0.001</t>
  </si>
  <si>
    <t>Offsetting Distance = 0.7</t>
  </si>
  <si>
    <t>Offsetting distance = 0.2</t>
  </si>
  <si>
    <t>Offsetting Distance = 0.2</t>
  </si>
  <si>
    <t>Theta_0 = 3.5 , f = 0.025</t>
  </si>
  <si>
    <t>Theta_0 = 3 , f = 0.028</t>
  </si>
  <si>
    <t>Theta_0 = 2.5, f = 0.042</t>
  </si>
  <si>
    <t>Theta_0 = 4.5, f = 0.009</t>
  </si>
  <si>
    <t>Theta_0 = 4, f = 0.0132</t>
  </si>
  <si>
    <t xml:space="preserve">Theta_0 = 4.5, f = </t>
  </si>
  <si>
    <t>Theta_0 = 5, f = 0.0005</t>
  </si>
  <si>
    <t>Theta_0 = 3.75 , f = 0.01774</t>
  </si>
  <si>
    <t>Theta_0 = 3.25 , f = 0.028</t>
  </si>
  <si>
    <t>Normalized stiffness</t>
  </si>
  <si>
    <t>Normalized Stiffness</t>
  </si>
  <si>
    <t>Theta_0 = 3.75, f =0.0157</t>
  </si>
  <si>
    <t>Theta_0 = 3.75 , f = 0.0275</t>
  </si>
  <si>
    <t>Theta_0 = 3.75 , f = 0.0028</t>
  </si>
  <si>
    <t>E = 1720 Mpa; Sigma_{Max}/E = 1/100</t>
  </si>
  <si>
    <t>Theta_0 = 8, f =</t>
  </si>
  <si>
    <t>Theta_0 = 5, f = 0.217</t>
  </si>
  <si>
    <t>Theta_0 = 6, f = 0.168</t>
  </si>
  <si>
    <t>Theta_0 = 7, f = 0.1315</t>
  </si>
  <si>
    <t>Theta_0 = 8, f = 0.103</t>
  </si>
  <si>
    <t>Theta_0 = 9, f = 0.0815</t>
  </si>
  <si>
    <t>Theta_0 = 9, f =</t>
  </si>
  <si>
    <t>Theta_0 = 3, f = 0.394</t>
  </si>
  <si>
    <t>Theta_0 = 4, f = 0.267</t>
  </si>
  <si>
    <t>Theta_0 = 6 , f =0.1385</t>
  </si>
  <si>
    <t>Theta_0 = 8 , f = 0.0715</t>
  </si>
  <si>
    <t xml:space="preserve">Theta_0 =  9, f = </t>
  </si>
  <si>
    <t>U_bar = 0.000036257</t>
  </si>
  <si>
    <t>U_bar = 0.000037035</t>
  </si>
  <si>
    <t>Theta_0 = 4, f = 0.22</t>
  </si>
  <si>
    <t>Theta_0 = 10, f = 0.06415</t>
  </si>
  <si>
    <t>Theta_0 = 11, f = 0.0275</t>
  </si>
  <si>
    <t>Theta_0 = 13, f = 0.017</t>
  </si>
  <si>
    <t>Theta_0 = 2 , f = 0.044</t>
  </si>
  <si>
    <t>Offsetting Distance = 0.6</t>
  </si>
  <si>
    <t>Theta_0 = 3, f = 0.025</t>
  </si>
  <si>
    <t>Offsetting Distance = 0.4</t>
  </si>
  <si>
    <t>Optimization1by10000.7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</si>
</sst>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4"/>
      <color theme="1"/>
      <name val="Times New Roman"/>
      <family val="1"/>
    </font>
    <font>
      <sz val="20"/>
      <color rgb="FFFF0000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sz val="16"/>
      <color rgb="FFFF0000"/>
      <name val="Times New Roman"/>
      <family val="1"/>
    </font>
    <font>
      <sz val="16"/>
      <name val="Times New Roman"/>
      <family val="1"/>
    </font>
    <font>
      <b/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8"/>
      <color theme="1"/>
      <name val="Consolas"/>
      <family val="3"/>
    </font>
    <font>
      <sz val="16"/>
      <color theme="1"/>
      <name val="Consolas"/>
      <family val="3"/>
    </font>
    <font>
      <b/>
      <sz val="16"/>
      <color theme="1"/>
      <name val="Times New Roman"/>
      <family val="1"/>
    </font>
    <font>
      <b/>
      <sz val="16"/>
      <color theme="1"/>
      <name val="Consolas"/>
      <family val="3"/>
    </font>
    <font>
      <sz val="20"/>
      <color theme="1"/>
      <name val="Consolas"/>
      <family val="3"/>
    </font>
    <font>
      <b/>
      <sz val="14"/>
      <color theme="1"/>
      <name val="Times New Roman"/>
      <family val="1"/>
    </font>
    <font>
      <b/>
      <sz val="12"/>
      <color theme="1"/>
      <name val="Consolas"/>
      <family val="3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4"/>
      <color theme="1"/>
      <name val="Consolas"/>
      <family val="3"/>
    </font>
    <font>
      <b/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8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/>
    <xf numFmtId="0" fontId="5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1" fontId="1" fillId="7" borderId="0" xfId="0" applyNumberFormat="1" applyFont="1" applyFill="1" applyAlignment="1">
      <alignment horizontal="center" vertical="center"/>
    </xf>
    <xf numFmtId="0" fontId="0" fillId="7" borderId="0" xfId="0" applyFill="1"/>
    <xf numFmtId="0" fontId="1" fillId="7" borderId="4" xfId="0" applyFont="1" applyFill="1" applyBorder="1" applyAlignment="1">
      <alignment horizontal="center" vertical="center"/>
    </xf>
    <xf numFmtId="11" fontId="1" fillId="7" borderId="4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11" fontId="0" fillId="7" borderId="0" xfId="0" applyNumberFormat="1" applyFill="1" applyAlignment="1">
      <alignment horizontal="center"/>
    </xf>
    <xf numFmtId="11" fontId="1" fillId="0" borderId="0" xfId="0" applyNumberFormat="1" applyFont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1" fontId="1" fillId="6" borderId="4" xfId="0" applyNumberFormat="1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1" fontId="1" fillId="7" borderId="12" xfId="0" applyNumberFormat="1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11" fontId="1" fillId="7" borderId="5" xfId="0" applyNumberFormat="1" applyFont="1" applyFill="1" applyBorder="1" applyAlignment="1">
      <alignment horizontal="center" vertical="center"/>
    </xf>
    <xf numFmtId="11" fontId="1" fillId="7" borderId="16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11" fontId="1" fillId="8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/>
    <xf numFmtId="0" fontId="1" fillId="7" borderId="5" xfId="0" applyFont="1" applyFill="1" applyBorder="1" applyAlignment="1">
      <alignment horizontal="center"/>
    </xf>
    <xf numFmtId="11" fontId="1" fillId="7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4" xfId="0" applyFont="1" applyFill="1" applyBorder="1" applyAlignment="1">
      <alignment horizontal="center"/>
    </xf>
    <xf numFmtId="11" fontId="1" fillId="7" borderId="4" xfId="0" applyNumberFormat="1" applyFont="1" applyFill="1" applyBorder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11" fontId="1" fillId="7" borderId="12" xfId="0" applyNumberFormat="1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11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7" borderId="6" xfId="0" applyFont="1" applyFill="1" applyBorder="1" applyAlignment="1">
      <alignment horizontal="center"/>
    </xf>
    <xf numFmtId="11" fontId="1" fillId="7" borderId="6" xfId="0" applyNumberFormat="1" applyFont="1" applyFill="1" applyBorder="1" applyAlignment="1">
      <alignment horizontal="center"/>
    </xf>
    <xf numFmtId="0" fontId="0" fillId="8" borderId="25" xfId="0" applyFill="1" applyBorder="1"/>
    <xf numFmtId="0" fontId="1" fillId="8" borderId="25" xfId="0" applyFont="1" applyFill="1" applyBorder="1" applyAlignment="1">
      <alignment horizontal="center" vertical="center"/>
    </xf>
    <xf numFmtId="11" fontId="1" fillId="8" borderId="25" xfId="0" applyNumberFormat="1" applyFon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8" borderId="0" xfId="0" applyFont="1" applyFill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7" borderId="12" xfId="0" applyFont="1" applyFill="1" applyBorder="1" applyAlignment="1">
      <alignment vertical="center"/>
    </xf>
    <xf numFmtId="11" fontId="2" fillId="7" borderId="12" xfId="0" applyNumberFormat="1" applyFont="1" applyFill="1" applyBorder="1" applyAlignment="1">
      <alignment vertical="center"/>
    </xf>
    <xf numFmtId="11" fontId="2" fillId="7" borderId="4" xfId="0" applyNumberFormat="1" applyFont="1" applyFill="1" applyBorder="1" applyAlignment="1">
      <alignment vertical="center"/>
    </xf>
    <xf numFmtId="11" fontId="2" fillId="7" borderId="6" xfId="0" applyNumberFormat="1" applyFont="1" applyFill="1" applyBorder="1" applyAlignment="1">
      <alignment vertical="center"/>
    </xf>
    <xf numFmtId="11" fontId="2" fillId="8" borderId="0" xfId="0" applyNumberFormat="1" applyFont="1" applyFill="1" applyAlignment="1">
      <alignment vertical="center"/>
    </xf>
    <xf numFmtId="0" fontId="2" fillId="7" borderId="12" xfId="0" applyFont="1" applyFill="1" applyBorder="1" applyAlignment="1">
      <alignment horizontal="center" vertical="center"/>
    </xf>
    <xf numFmtId="11" fontId="2" fillId="7" borderId="12" xfId="0" applyNumberFormat="1" applyFont="1" applyFill="1" applyBorder="1" applyAlignment="1">
      <alignment horizontal="center" vertical="center"/>
    </xf>
    <xf numFmtId="11" fontId="2" fillId="7" borderId="4" xfId="0" applyNumberFormat="1" applyFont="1" applyFill="1" applyBorder="1" applyAlignment="1">
      <alignment horizontal="center" vertical="center"/>
    </xf>
    <xf numFmtId="11" fontId="2" fillId="8" borderId="0" xfId="0" applyNumberFormat="1" applyFont="1" applyFill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2" fillId="8" borderId="4" xfId="0" applyNumberFormat="1" applyFont="1" applyFill="1" applyBorder="1" applyAlignment="1">
      <alignment horizontal="center" vertical="center"/>
    </xf>
    <xf numFmtId="11" fontId="2" fillId="0" borderId="4" xfId="0" applyNumberFormat="1" applyFont="1" applyBorder="1" applyAlignment="1">
      <alignment horizontal="center" vertical="center"/>
    </xf>
    <xf numFmtId="11" fontId="2" fillId="8" borderId="4" xfId="0" applyNumberFormat="1" applyFont="1" applyFill="1" applyBorder="1" applyAlignment="1">
      <alignment horizontal="center"/>
    </xf>
    <xf numFmtId="11" fontId="1" fillId="0" borderId="12" xfId="0" applyNumberFormat="1" applyFont="1" applyBorder="1" applyAlignment="1">
      <alignment horizontal="center"/>
    </xf>
    <xf numFmtId="11" fontId="1" fillId="0" borderId="12" xfId="0" applyNumberFormat="1" applyFon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2" fillId="0" borderId="4" xfId="0" applyFont="1" applyBorder="1" applyAlignment="1">
      <alignment vertical="center"/>
    </xf>
    <xf numFmtId="11" fontId="2" fillId="0" borderId="12" xfId="0" applyNumberFormat="1" applyFont="1" applyBorder="1" applyAlignment="1">
      <alignment vertical="center"/>
    </xf>
    <xf numFmtId="11" fontId="2" fillId="9" borderId="4" xfId="0" applyNumberFormat="1" applyFont="1" applyFill="1" applyBorder="1" applyAlignment="1">
      <alignment vertical="center"/>
    </xf>
    <xf numFmtId="11" fontId="2" fillId="9" borderId="12" xfId="0" applyNumberFormat="1" applyFont="1" applyFill="1" applyBorder="1" applyAlignment="1">
      <alignment vertical="center"/>
    </xf>
    <xf numFmtId="11" fontId="1" fillId="9" borderId="12" xfId="0" applyNumberFormat="1" applyFont="1" applyFill="1" applyBorder="1" applyAlignment="1">
      <alignment horizontal="center" vertical="center"/>
    </xf>
    <xf numFmtId="11" fontId="1" fillId="9" borderId="4" xfId="0" applyNumberFormat="1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/>
    </xf>
    <xf numFmtId="11" fontId="1" fillId="9" borderId="4" xfId="0" applyNumberFormat="1" applyFont="1" applyFill="1" applyBorder="1" applyAlignment="1">
      <alignment horizontal="center" vertical="center"/>
    </xf>
    <xf numFmtId="11" fontId="2" fillId="0" borderId="16" xfId="0" applyNumberFormat="1" applyFont="1" applyBorder="1" applyAlignment="1">
      <alignment vertical="center"/>
    </xf>
    <xf numFmtId="11" fontId="2" fillId="8" borderId="0" xfId="0" applyNumberFormat="1" applyFont="1" applyFill="1" applyAlignment="1">
      <alignment horizontal="center"/>
    </xf>
    <xf numFmtId="0" fontId="2" fillId="0" borderId="13" xfId="0" applyFont="1" applyBorder="1" applyAlignment="1">
      <alignment vertical="center"/>
    </xf>
    <xf numFmtId="11" fontId="2" fillId="9" borderId="12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1" fontId="2" fillId="0" borderId="1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9" borderId="12" xfId="0" applyFont="1" applyFill="1" applyBorder="1" applyAlignment="1">
      <alignment horizontal="center"/>
    </xf>
    <xf numFmtId="11" fontId="2" fillId="0" borderId="4" xfId="0" applyNumberFormat="1" applyFont="1" applyBorder="1" applyAlignment="1">
      <alignment horizontal="center"/>
    </xf>
    <xf numFmtId="0" fontId="2" fillId="7" borderId="13" xfId="0" applyFont="1" applyFill="1" applyBorder="1" applyAlignment="1">
      <alignment vertical="center"/>
    </xf>
    <xf numFmtId="11" fontId="1" fillId="0" borderId="4" xfId="0" applyNumberFormat="1" applyFont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11" fontId="13" fillId="0" borderId="4" xfId="0" applyNumberFormat="1" applyFont="1" applyBorder="1" applyAlignment="1">
      <alignment horizontal="center" vertical="center"/>
    </xf>
    <xf numFmtId="11" fontId="13" fillId="0" borderId="0" xfId="0" applyNumberFormat="1" applyFont="1" applyAlignment="1">
      <alignment horizontal="center" vertical="center"/>
    </xf>
    <xf numFmtId="0" fontId="13" fillId="7" borderId="4" xfId="0" applyFont="1" applyFill="1" applyBorder="1" applyAlignment="1">
      <alignment horizontal="center"/>
    </xf>
    <xf numFmtId="11" fontId="13" fillId="0" borderId="4" xfId="0" applyNumberFormat="1" applyFont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11" fontId="13" fillId="0" borderId="0" xfId="0" applyNumberFormat="1" applyFont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3" fillId="7" borderId="2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1" fontId="3" fillId="0" borderId="4" xfId="0" applyNumberFormat="1" applyFont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1" fontId="1" fillId="0" borderId="5" xfId="0" applyNumberFormat="1" applyFont="1" applyBorder="1" applyAlignment="1">
      <alignment horizontal="center" vertical="center"/>
    </xf>
    <xf numFmtId="11" fontId="13" fillId="2" borderId="4" xfId="0" applyNumberFormat="1" applyFont="1" applyFill="1" applyBorder="1" applyAlignment="1">
      <alignment horizontal="center" vertical="center"/>
    </xf>
    <xf numFmtId="11" fontId="10" fillId="0" borderId="4" xfId="0" applyNumberFormat="1" applyFont="1" applyBorder="1" applyAlignment="1">
      <alignment horizontal="center" vertical="center"/>
    </xf>
    <xf numFmtId="11" fontId="13" fillId="2" borderId="4" xfId="0" applyNumberFormat="1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 wrapText="1"/>
    </xf>
    <xf numFmtId="0" fontId="8" fillId="6" borderId="4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 wrapText="1"/>
    </xf>
    <xf numFmtId="0" fontId="0" fillId="0" borderId="28" xfId="0" applyBorder="1"/>
    <xf numFmtId="11" fontId="2" fillId="0" borderId="5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1" fontId="2" fillId="0" borderId="3" xfId="0" applyNumberFormat="1" applyFont="1" applyBorder="1" applyAlignment="1">
      <alignment horizontal="center"/>
    </xf>
    <xf numFmtId="11" fontId="2" fillId="0" borderId="3" xfId="0" applyNumberFormat="1" applyFont="1" applyBorder="1" applyAlignment="1">
      <alignment horizontal="center" vertical="center"/>
    </xf>
    <xf numFmtId="11" fontId="1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11" fontId="2" fillId="0" borderId="5" xfId="0" applyNumberFormat="1" applyFont="1" applyBorder="1" applyAlignment="1">
      <alignment horizontal="center"/>
    </xf>
    <xf numFmtId="0" fontId="5" fillId="5" borderId="1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/>
    </xf>
    <xf numFmtId="11" fontId="2" fillId="0" borderId="12" xfId="0" applyNumberFormat="1" applyFont="1" applyBorder="1" applyAlignment="1">
      <alignment horizontal="center"/>
    </xf>
    <xf numFmtId="11" fontId="14" fillId="2" borderId="4" xfId="0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 vertical="center"/>
    </xf>
    <xf numFmtId="0" fontId="13" fillId="0" borderId="0" xfId="0" applyFont="1"/>
    <xf numFmtId="0" fontId="10" fillId="0" borderId="4" xfId="0" applyFont="1" applyBorder="1" applyAlignment="1">
      <alignment horizontal="center" vertical="center"/>
    </xf>
    <xf numFmtId="11" fontId="16" fillId="2" borderId="4" xfId="0" applyNumberFormat="1" applyFont="1" applyFill="1" applyBorder="1" applyAlignment="1">
      <alignment horizontal="center"/>
    </xf>
    <xf numFmtId="11" fontId="14" fillId="2" borderId="4" xfId="0" applyNumberFormat="1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9" borderId="4" xfId="0" applyFont="1" applyFill="1" applyBorder="1" applyAlignment="1">
      <alignment horizontal="center"/>
    </xf>
    <xf numFmtId="11" fontId="18" fillId="0" borderId="4" xfId="0" applyNumberFormat="1" applyFont="1" applyBorder="1" applyAlignment="1">
      <alignment horizontal="center" vertical="center"/>
    </xf>
    <xf numFmtId="11" fontId="19" fillId="0" borderId="0" xfId="0" applyNumberFormat="1" applyFont="1" applyAlignment="1">
      <alignment horizontal="left" vertical="center"/>
    </xf>
    <xf numFmtId="11" fontId="20" fillId="0" borderId="0" xfId="0" applyNumberFormat="1" applyFont="1" applyAlignment="1">
      <alignment horizontal="left" vertical="center"/>
    </xf>
    <xf numFmtId="0" fontId="3" fillId="0" borderId="0" xfId="0" applyFont="1"/>
    <xf numFmtId="11" fontId="2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7" borderId="12" xfId="0" applyFont="1" applyFill="1" applyBorder="1" applyAlignment="1">
      <alignment horizontal="center" vertical="center"/>
    </xf>
    <xf numFmtId="11" fontId="23" fillId="0" borderId="0" xfId="0" applyNumberFormat="1" applyFont="1" applyAlignment="1">
      <alignment horizontal="left" vertical="center"/>
    </xf>
    <xf numFmtId="11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8" fillId="7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11" fontId="2" fillId="4" borderId="12" xfId="0" applyNumberFormat="1" applyFont="1" applyFill="1" applyBorder="1" applyAlignment="1">
      <alignment horizontal="center" vertical="center"/>
    </xf>
    <xf numFmtId="11" fontId="21" fillId="0" borderId="4" xfId="0" applyNumberFormat="1" applyFont="1" applyBorder="1" applyAlignment="1">
      <alignment horizontal="center" vertical="center"/>
    </xf>
    <xf numFmtId="11" fontId="24" fillId="0" borderId="4" xfId="0" applyNumberFormat="1" applyFont="1" applyBorder="1" applyAlignment="1">
      <alignment horizontal="center"/>
    </xf>
    <xf numFmtId="11" fontId="13" fillId="0" borderId="5" xfId="0" applyNumberFormat="1" applyFont="1" applyBorder="1" applyAlignment="1">
      <alignment horizontal="center" vertical="center"/>
    </xf>
    <xf numFmtId="11" fontId="21" fillId="0" borderId="5" xfId="0" applyNumberFormat="1" applyFont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11" fontId="21" fillId="0" borderId="0" xfId="0" applyNumberFormat="1" applyFont="1" applyAlignment="1">
      <alignment horizontal="left" vertical="center"/>
    </xf>
    <xf numFmtId="0" fontId="3" fillId="7" borderId="4" xfId="0" applyFont="1" applyFill="1" applyBorder="1" applyAlignment="1">
      <alignment horizontal="center" vertical="center"/>
    </xf>
    <xf numFmtId="11" fontId="2" fillId="7" borderId="4" xfId="0" applyNumberFormat="1" applyFont="1" applyFill="1" applyBorder="1" applyAlignment="1">
      <alignment horizontal="center"/>
    </xf>
    <xf numFmtId="11" fontId="3" fillId="7" borderId="4" xfId="0" applyNumberFormat="1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11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1" fontId="0" fillId="7" borderId="4" xfId="0" applyNumberFormat="1" applyFill="1" applyBorder="1" applyAlignment="1">
      <alignment horizontal="center"/>
    </xf>
    <xf numFmtId="11" fontId="0" fillId="7" borderId="4" xfId="0" applyNumberFormat="1" applyFill="1" applyBorder="1"/>
    <xf numFmtId="0" fontId="2" fillId="7" borderId="4" xfId="0" applyFont="1" applyFill="1" applyBorder="1"/>
    <xf numFmtId="0" fontId="26" fillId="7" borderId="4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11" fontId="26" fillId="7" borderId="4" xfId="0" applyNumberFormat="1" applyFont="1" applyFill="1" applyBorder="1" applyAlignment="1">
      <alignment horizontal="center" vertical="center"/>
    </xf>
    <xf numFmtId="11" fontId="27" fillId="0" borderId="0" xfId="0" applyNumberFormat="1" applyFont="1" applyAlignment="1">
      <alignment horizontal="center" vertical="center"/>
    </xf>
    <xf numFmtId="0" fontId="28" fillId="7" borderId="4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 vertical="center"/>
    </xf>
    <xf numFmtId="11" fontId="28" fillId="7" borderId="4" xfId="0" applyNumberFormat="1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/>
    </xf>
    <xf numFmtId="11" fontId="9" fillId="7" borderId="4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1" fontId="17" fillId="0" borderId="0" xfId="0" applyNumberFormat="1" applyFont="1" applyAlignment="1">
      <alignment horizontal="center"/>
    </xf>
    <xf numFmtId="11" fontId="28" fillId="7" borderId="4" xfId="0" applyNumberFormat="1" applyFont="1" applyFill="1" applyBorder="1" applyAlignment="1">
      <alignment horizontal="center"/>
    </xf>
    <xf numFmtId="0" fontId="29" fillId="7" borderId="4" xfId="0" applyFont="1" applyFill="1" applyBorder="1" applyAlignment="1">
      <alignment horizontal="center"/>
    </xf>
    <xf numFmtId="11" fontId="30" fillId="0" borderId="0" xfId="0" applyNumberFormat="1" applyFont="1" applyAlignment="1">
      <alignment horizontal="center"/>
    </xf>
    <xf numFmtId="0" fontId="9" fillId="7" borderId="4" xfId="0" applyFont="1" applyFill="1" applyBorder="1" applyAlignment="1">
      <alignment horizontal="center" vertical="center"/>
    </xf>
    <xf numFmtId="11" fontId="9" fillId="7" borderId="4" xfId="0" applyNumberFormat="1" applyFont="1" applyFill="1" applyBorder="1" applyAlignment="1">
      <alignment horizontal="center" vertical="center"/>
    </xf>
    <xf numFmtId="11" fontId="9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1" fontId="2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11" fontId="28" fillId="0" borderId="0" xfId="0" applyNumberFormat="1" applyFont="1" applyAlignment="1">
      <alignment horizontal="center"/>
    </xf>
    <xf numFmtId="0" fontId="28" fillId="0" borderId="4" xfId="0" applyFont="1" applyBorder="1" applyAlignment="1">
      <alignment horizontal="center"/>
    </xf>
    <xf numFmtId="11" fontId="28" fillId="0" borderId="4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8" fillId="7" borderId="12" xfId="0" applyFont="1" applyFill="1" applyBorder="1" applyAlignment="1">
      <alignment horizontal="center"/>
    </xf>
    <xf numFmtId="0" fontId="29" fillId="7" borderId="12" xfId="0" applyFont="1" applyFill="1" applyBorder="1" applyAlignment="1">
      <alignment horizontal="center"/>
    </xf>
    <xf numFmtId="11" fontId="28" fillId="7" borderId="12" xfId="0" applyNumberFormat="1" applyFont="1" applyFill="1" applyBorder="1" applyAlignment="1">
      <alignment horizontal="center"/>
    </xf>
    <xf numFmtId="11" fontId="28" fillId="0" borderId="12" xfId="0" applyNumberFormat="1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 vertical="center"/>
    </xf>
    <xf numFmtId="11" fontId="9" fillId="7" borderId="5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/>
    </xf>
    <xf numFmtId="0" fontId="28" fillId="0" borderId="12" xfId="0" applyFont="1" applyBorder="1" applyAlignment="1">
      <alignment horizontal="center"/>
    </xf>
    <xf numFmtId="11" fontId="31" fillId="0" borderId="0" xfId="0" applyNumberFormat="1" applyFont="1" applyAlignment="1">
      <alignment horizontal="center"/>
    </xf>
    <xf numFmtId="0" fontId="18" fillId="7" borderId="28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1" fontId="21" fillId="2" borderId="4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11" fontId="5" fillId="7" borderId="4" xfId="0" applyNumberFormat="1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1" fontId="18" fillId="2" borderId="4" xfId="0" applyNumberFormat="1" applyFont="1" applyFill="1" applyBorder="1" applyAlignment="1">
      <alignment horizontal="center" vertical="center"/>
    </xf>
    <xf numFmtId="11" fontId="34" fillId="2" borderId="4" xfId="0" applyNumberFormat="1" applyFont="1" applyFill="1" applyBorder="1" applyAlignment="1">
      <alignment horizontal="center" vertical="center"/>
    </xf>
    <xf numFmtId="11" fontId="21" fillId="7" borderId="4" xfId="0" applyNumberFormat="1" applyFont="1" applyFill="1" applyBorder="1" applyAlignment="1">
      <alignment horizontal="center" vertical="center"/>
    </xf>
    <xf numFmtId="11" fontId="14" fillId="7" borderId="4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7" borderId="4" xfId="0" applyFont="1" applyFill="1" applyBorder="1" applyAlignment="1">
      <alignment horizontal="center"/>
    </xf>
    <xf numFmtId="11" fontId="21" fillId="7" borderId="4" xfId="0" applyNumberFormat="1" applyFont="1" applyFill="1" applyBorder="1" applyAlignment="1">
      <alignment horizontal="center"/>
    </xf>
    <xf numFmtId="0" fontId="21" fillId="7" borderId="34" xfId="0" applyFont="1" applyFill="1" applyBorder="1" applyAlignment="1">
      <alignment horizontal="center" vertical="center"/>
    </xf>
    <xf numFmtId="11" fontId="21" fillId="7" borderId="0" xfId="0" applyNumberFormat="1" applyFont="1" applyFill="1" applyAlignment="1">
      <alignment horizontal="center" vertical="center"/>
    </xf>
    <xf numFmtId="11" fontId="21" fillId="7" borderId="34" xfId="0" applyNumberFormat="1" applyFont="1" applyFill="1" applyBorder="1" applyAlignment="1">
      <alignment horizontal="center" vertical="center"/>
    </xf>
    <xf numFmtId="0" fontId="17" fillId="7" borderId="0" xfId="0" applyFont="1" applyFill="1"/>
    <xf numFmtId="0" fontId="9" fillId="7" borderId="12" xfId="0" applyFont="1" applyFill="1" applyBorder="1" applyAlignment="1">
      <alignment horizontal="center" vertical="center"/>
    </xf>
    <xf numFmtId="11" fontId="9" fillId="7" borderId="12" xfId="0" applyNumberFormat="1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/>
    </xf>
    <xf numFmtId="0" fontId="24" fillId="7" borderId="4" xfId="0" applyFont="1" applyFill="1" applyBorder="1" applyAlignment="1">
      <alignment horizontal="center" vertical="center"/>
    </xf>
    <xf numFmtId="11" fontId="24" fillId="7" borderId="4" xfId="0" applyNumberFormat="1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1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1" fillId="7" borderId="4" xfId="0" applyFont="1" applyFill="1" applyBorder="1"/>
    <xf numFmtId="0" fontId="21" fillId="0" borderId="0" xfId="0" applyFont="1" applyAlignment="1">
      <alignment horizontal="left" vertical="center"/>
    </xf>
    <xf numFmtId="0" fontId="5" fillId="6" borderId="26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9" fillId="6" borderId="1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/>
    </xf>
    <xf numFmtId="0" fontId="5" fillId="6" borderId="11" xfId="0" applyFont="1" applyFill="1" applyBorder="1" applyAlignment="1">
      <alignment vertical="center"/>
    </xf>
    <xf numFmtId="11" fontId="6" fillId="0" borderId="4" xfId="0" applyNumberFormat="1" applyFont="1" applyBorder="1" applyAlignment="1">
      <alignment horizontal="center"/>
    </xf>
    <xf numFmtId="0" fontId="36" fillId="7" borderId="5" xfId="0" applyFont="1" applyFill="1" applyBorder="1" applyAlignment="1">
      <alignment horizontal="center"/>
    </xf>
    <xf numFmtId="11" fontId="37" fillId="0" borderId="4" xfId="0" applyNumberFormat="1" applyFont="1" applyBorder="1" applyAlignment="1">
      <alignment horizontal="center" vertical="center"/>
    </xf>
    <xf numFmtId="11" fontId="1" fillId="7" borderId="5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7" fillId="2" borderId="4" xfId="0" applyFont="1" applyFill="1" applyBorder="1"/>
    <xf numFmtId="0" fontId="0" fillId="2" borderId="4" xfId="0" applyFill="1" applyBorder="1"/>
    <xf numFmtId="11" fontId="2" fillId="8" borderId="5" xfId="0" applyNumberFormat="1" applyFont="1" applyFill="1" applyBorder="1" applyAlignment="1">
      <alignment horizontal="center" vertical="center"/>
    </xf>
    <xf numFmtId="0" fontId="34" fillId="7" borderId="4" xfId="0" applyFont="1" applyFill="1" applyBorder="1" applyAlignment="1">
      <alignment horizontal="center" vertical="center"/>
    </xf>
    <xf numFmtId="11" fontId="35" fillId="2" borderId="4" xfId="0" applyNumberFormat="1" applyFont="1" applyFill="1" applyBorder="1" applyAlignment="1">
      <alignment horizontal="center" vertical="center"/>
    </xf>
    <xf numFmtId="0" fontId="4" fillId="0" borderId="4" xfId="0" applyFont="1" applyBorder="1"/>
    <xf numFmtId="11" fontId="33" fillId="0" borderId="4" xfId="0" applyNumberFormat="1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10" borderId="29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8" fillId="10" borderId="3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 vertical="center"/>
    </xf>
    <xf numFmtId="0" fontId="5" fillId="10" borderId="32" xfId="0" applyFont="1" applyFill="1" applyBorder="1" applyAlignment="1">
      <alignment horizontal="center" vertical="center"/>
    </xf>
    <xf numFmtId="0" fontId="5" fillId="10" borderId="3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1" fontId="32" fillId="0" borderId="0" xfId="0" applyNumberFormat="1" applyFont="1" applyAlignment="1">
      <alignment horizontal="center" vertical="center"/>
    </xf>
    <xf numFmtId="11" fontId="25" fillId="0" borderId="0" xfId="0" applyNumberFormat="1" applyFont="1" applyAlignment="1">
      <alignment horizontal="center" vertical="center"/>
    </xf>
    <xf numFmtId="0" fontId="5" fillId="5" borderId="1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c=0;</a:t>
            </a:r>
            <a:r>
              <a:rPr lang="en-IN" baseline="0"/>
              <a:t> theta_0 =2,f = 0.065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Sheet2!$A$5:$A$11</c:f>
              <c:numCache>
                <c:formatCode>General</c:formatCode>
                <c:ptCount val="7"/>
                <c:pt idx="0">
                  <c:v>0</c:v>
                </c:pt>
                <c:pt idx="1">
                  <c:v>2.5000000000000001E-2</c:v>
                </c:pt>
                <c:pt idx="2">
                  <c:v>4.3749999999999997E-2</c:v>
                </c:pt>
                <c:pt idx="3">
                  <c:v>7.1875099999999997E-2</c:v>
                </c:pt>
                <c:pt idx="4">
                  <c:v>0.114062</c:v>
                </c:pt>
                <c:pt idx="5">
                  <c:v>0.177344</c:v>
                </c:pt>
                <c:pt idx="6">
                  <c:v>0.201074</c:v>
                </c:pt>
              </c:numCache>
            </c:numRef>
          </c:xVal>
          <c:yVal>
            <c:numRef>
              <c:f>Sheet2!$B$5:$B$11</c:f>
              <c:numCache>
                <c:formatCode>General</c:formatCode>
                <c:ptCount val="7"/>
                <c:pt idx="0">
                  <c:v>0</c:v>
                </c:pt>
                <c:pt idx="1">
                  <c:v>1.6329099999999999E-2</c:v>
                </c:pt>
                <c:pt idx="2">
                  <c:v>2.18333E-2</c:v>
                </c:pt>
                <c:pt idx="3">
                  <c:v>2.1112300000000001E-2</c:v>
                </c:pt>
                <c:pt idx="4">
                  <c:v>8.0228000000000001E-3</c:v>
                </c:pt>
                <c:pt idx="5" formatCode="0.00E+00">
                  <c:v>1.1887400000000001E-5</c:v>
                </c:pt>
                <c:pt idx="6" formatCode="0.00E+00">
                  <c:v>1.99195E-7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D8-436D-90E9-5C81651C4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435391"/>
        <c:axId val="462437055"/>
      </c:scatterChart>
      <c:valAx>
        <c:axId val="46243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37055"/>
        <c:crosses val="autoZero"/>
        <c:crossBetween val="midCat"/>
      </c:valAx>
      <c:valAx>
        <c:axId val="46243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</a:t>
            </a:r>
            <a:r>
              <a:rPr lang="en-IN" baseline="0"/>
              <a:t> =0;theta_0 =2.5; f = 0.045</a:t>
            </a:r>
            <a:endParaRPr lang="en-IN"/>
          </a:p>
        </c:rich>
      </c:tx>
      <c:layout>
        <c:manualLayout>
          <c:xMode val="edge"/>
          <c:yMode val="edge"/>
          <c:x val="0.2786178915135608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Sheet2!$C$5:$C$15</c:f>
              <c:numCache>
                <c:formatCode>General</c:formatCode>
                <c:ptCount val="11"/>
                <c:pt idx="0">
                  <c:v>0</c:v>
                </c:pt>
                <c:pt idx="1">
                  <c:v>3.5000000000000001E-3</c:v>
                </c:pt>
                <c:pt idx="2">
                  <c:v>5.7499999999999999E-3</c:v>
                </c:pt>
                <c:pt idx="3" formatCode="0.00E+00">
                  <c:v>9.1249999999999994E-3</c:v>
                </c:pt>
                <c:pt idx="4" formatCode="0.00E+00">
                  <c:v>1.41875E-2</c:v>
                </c:pt>
                <c:pt idx="5" formatCode="0.00E+00">
                  <c:v>2.1781200000000001E-2</c:v>
                </c:pt>
                <c:pt idx="6" formatCode="0.00E+00">
                  <c:v>3.3171899999999997E-2</c:v>
                </c:pt>
                <c:pt idx="7" formatCode="0.00E+00">
                  <c:v>5.0257799999999998E-2</c:v>
                </c:pt>
                <c:pt idx="8" formatCode="0.00E+00">
                  <c:v>7.5886700000000001E-2</c:v>
                </c:pt>
                <c:pt idx="9" formatCode="0.00E+00">
                  <c:v>0.11433</c:v>
                </c:pt>
                <c:pt idx="10" formatCode="0.00E+00">
                  <c:v>0.17199500000000001</c:v>
                </c:pt>
              </c:numCache>
            </c:numRef>
          </c:xVal>
          <c:yVal>
            <c:numRef>
              <c:f>Sheet2!$D$5:$D$15</c:f>
              <c:numCache>
                <c:formatCode>General</c:formatCode>
                <c:ptCount val="11"/>
                <c:pt idx="0">
                  <c:v>0</c:v>
                </c:pt>
                <c:pt idx="1">
                  <c:v>3.3404799999999998E-3</c:v>
                </c:pt>
                <c:pt idx="2">
                  <c:v>5.0815900000000004E-3</c:v>
                </c:pt>
                <c:pt idx="3" formatCode="0.00E+00">
                  <c:v>7.7925700000000004E-3</c:v>
                </c:pt>
                <c:pt idx="4" formatCode="0.00E+00">
                  <c:v>1.16597E-2</c:v>
                </c:pt>
                <c:pt idx="5" formatCode="0.00E+00">
                  <c:v>1.6819299999999999E-2</c:v>
                </c:pt>
                <c:pt idx="6" formatCode="0.00E+00">
                  <c:v>2.2784800000000001E-2</c:v>
                </c:pt>
                <c:pt idx="7" formatCode="0.00E+00">
                  <c:v>2.7621099999999999E-2</c:v>
                </c:pt>
                <c:pt idx="8" formatCode="0.00E+00">
                  <c:v>2.6970500000000001E-2</c:v>
                </c:pt>
                <c:pt idx="9" formatCode="0.00E+00">
                  <c:v>1.5201299999999999E-2</c:v>
                </c:pt>
                <c:pt idx="10" formatCode="0.00E+00">
                  <c:v>6.4319000000000005E-5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67-45FD-84E4-6DF2EE89D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527023"/>
        <c:axId val="294526191"/>
      </c:scatterChart>
      <c:valAx>
        <c:axId val="29452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26191"/>
        <c:crosses val="autoZero"/>
        <c:crossBetween val="midCat"/>
      </c:valAx>
      <c:valAx>
        <c:axId val="29452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2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</a:t>
            </a:r>
            <a:r>
              <a:rPr lang="en-IN" baseline="0"/>
              <a:t> =0;theta_0 =3;f=0.035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Sheet2!$E$5:$E$15</c:f>
              <c:numCache>
                <c:formatCode>General</c:formatCode>
                <c:ptCount val="11"/>
                <c:pt idx="0">
                  <c:v>0</c:v>
                </c:pt>
                <c:pt idx="1">
                  <c:v>6.0000000000000001E-3</c:v>
                </c:pt>
                <c:pt idx="2">
                  <c:v>8.9999999999999993E-3</c:v>
                </c:pt>
                <c:pt idx="3">
                  <c:v>1.35E-2</c:v>
                </c:pt>
                <c:pt idx="4">
                  <c:v>2.0250000000000001E-2</c:v>
                </c:pt>
                <c:pt idx="5">
                  <c:v>3.0374999999999999E-2</c:v>
                </c:pt>
                <c:pt idx="6">
                  <c:v>4.5562499999999999E-2</c:v>
                </c:pt>
                <c:pt idx="7">
                  <c:v>6.8343699999999993E-2</c:v>
                </c:pt>
                <c:pt idx="8">
                  <c:v>0.102516</c:v>
                </c:pt>
                <c:pt idx="9">
                  <c:v>0.15377299999999999</c:v>
                </c:pt>
                <c:pt idx="10">
                  <c:v>0.23066</c:v>
                </c:pt>
              </c:numCache>
            </c:numRef>
          </c:xVal>
          <c:yVal>
            <c:numRef>
              <c:f>Sheet2!$F$5:$F$15</c:f>
              <c:numCache>
                <c:formatCode>General</c:formatCode>
                <c:ptCount val="11"/>
                <c:pt idx="0">
                  <c:v>0</c:v>
                </c:pt>
                <c:pt idx="1">
                  <c:v>6.9004799999999996E-3</c:v>
                </c:pt>
                <c:pt idx="2">
                  <c:v>9.6390999999999994E-3</c:v>
                </c:pt>
                <c:pt idx="3">
                  <c:v>1.384E-2</c:v>
                </c:pt>
                <c:pt idx="4">
                  <c:v>1.9664299999999999E-2</c:v>
                </c:pt>
                <c:pt idx="5">
                  <c:v>2.6967100000000001E-2</c:v>
                </c:pt>
                <c:pt idx="6">
                  <c:v>3.4299200000000002E-2</c:v>
                </c:pt>
                <c:pt idx="7">
                  <c:v>3.75891E-2</c:v>
                </c:pt>
                <c:pt idx="8">
                  <c:v>2.9418900000000001E-2</c:v>
                </c:pt>
                <c:pt idx="9">
                  <c:v>6.3691599999999996E-3</c:v>
                </c:pt>
                <c:pt idx="10" formatCode="0.00E+00">
                  <c:v>1.7302000000000001E-5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35-4EE7-A54C-77C5A6C6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64815"/>
        <c:axId val="299662735"/>
      </c:scatterChart>
      <c:valAx>
        <c:axId val="29966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62735"/>
        <c:crosses val="autoZero"/>
        <c:crossBetween val="midCat"/>
      </c:valAx>
      <c:valAx>
        <c:axId val="29966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6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</a:t>
            </a:r>
            <a:r>
              <a:rPr lang="en-IN" baseline="0"/>
              <a:t> = 0.5; theta_0=2;f=0.05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Sheet2!$AI$5:$AI$14</c:f>
              <c:numCache>
                <c:formatCode>General</c:formatCode>
                <c:ptCount val="10"/>
                <c:pt idx="0">
                  <c:v>0</c:v>
                </c:pt>
                <c:pt idx="1">
                  <c:v>3.5000000000000001E-3</c:v>
                </c:pt>
                <c:pt idx="2">
                  <c:v>5.7499999999999999E-3</c:v>
                </c:pt>
                <c:pt idx="3">
                  <c:v>9.1249999999999994E-3</c:v>
                </c:pt>
                <c:pt idx="4">
                  <c:v>1.41875E-2</c:v>
                </c:pt>
                <c:pt idx="5">
                  <c:v>2.17813E-2</c:v>
                </c:pt>
                <c:pt idx="6">
                  <c:v>3.3171899999999997E-2</c:v>
                </c:pt>
                <c:pt idx="7">
                  <c:v>5.0257799999999998E-2</c:v>
                </c:pt>
                <c:pt idx="8">
                  <c:v>7.5886700000000001E-2</c:v>
                </c:pt>
                <c:pt idx="9">
                  <c:v>0.11433</c:v>
                </c:pt>
              </c:numCache>
            </c:numRef>
          </c:xVal>
          <c:yVal>
            <c:numRef>
              <c:f>Sheet2!$AJ$5:$AJ$14</c:f>
              <c:numCache>
                <c:formatCode>General</c:formatCode>
                <c:ptCount val="10"/>
                <c:pt idx="0">
                  <c:v>0</c:v>
                </c:pt>
                <c:pt idx="1">
                  <c:v>2.7248900000000002E-3</c:v>
                </c:pt>
                <c:pt idx="2">
                  <c:v>4.2355500000000003E-3</c:v>
                </c:pt>
                <c:pt idx="3" formatCode="0.00E+00">
                  <c:v>6.5213199999999997E-3</c:v>
                </c:pt>
                <c:pt idx="4" formatCode="0.00E+00">
                  <c:v>9.7404999999999992E-3</c:v>
                </c:pt>
                <c:pt idx="5" formatCode="0.00E+00">
                  <c:v>1.39036E-2</c:v>
                </c:pt>
                <c:pt idx="6" formatCode="0.00E+00">
                  <c:v>1.8369400000000001E-2</c:v>
                </c:pt>
                <c:pt idx="7" formatCode="0.00E+00">
                  <c:v>2.1094499999999999E-2</c:v>
                </c:pt>
                <c:pt idx="8" formatCode="0.00E+00">
                  <c:v>1.8025099999999999E-2</c:v>
                </c:pt>
                <c:pt idx="9" formatCode="0.00E+00">
                  <c:v>5.9487300000000002E-3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44-4E13-AFEE-C7274F239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957439"/>
        <c:axId val="785156463"/>
      </c:scatterChart>
      <c:valAx>
        <c:axId val="69295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56463"/>
        <c:crosses val="autoZero"/>
        <c:crossBetween val="midCat"/>
      </c:valAx>
      <c:valAx>
        <c:axId val="78515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95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c=0.5;theta_0=2.5;f=0.0325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Sheet2!$AK$5:$AK$16</c:f>
              <c:numCache>
                <c:formatCode>0.00E+00</c:formatCode>
                <c:ptCount val="12"/>
                <c:pt idx="0" formatCode="General">
                  <c:v>0</c:v>
                </c:pt>
                <c:pt idx="1">
                  <c:v>3.0000000000000001E-3</c:v>
                </c:pt>
                <c:pt idx="2">
                  <c:v>4.4999999999999997E-3</c:v>
                </c:pt>
                <c:pt idx="3">
                  <c:v>6.7499999999999999E-3</c:v>
                </c:pt>
                <c:pt idx="4">
                  <c:v>1.0125E-2</c:v>
                </c:pt>
                <c:pt idx="5">
                  <c:v>1.51875E-2</c:v>
                </c:pt>
                <c:pt idx="6">
                  <c:v>2.2781300000000001E-2</c:v>
                </c:pt>
                <c:pt idx="7">
                  <c:v>3.4171899999999998E-2</c:v>
                </c:pt>
                <c:pt idx="8">
                  <c:v>5.1257799999999999E-2</c:v>
                </c:pt>
                <c:pt idx="9" formatCode="General">
                  <c:v>7.6886700000000002E-2</c:v>
                </c:pt>
                <c:pt idx="10" formatCode="General">
                  <c:v>0.11533</c:v>
                </c:pt>
                <c:pt idx="11" formatCode="General">
                  <c:v>0.17299500000000001</c:v>
                </c:pt>
              </c:numCache>
            </c:numRef>
          </c:xVal>
          <c:yVal>
            <c:numRef>
              <c:f>Sheet2!$AL$5:$AL$16</c:f>
              <c:numCache>
                <c:formatCode>0.00E+00</c:formatCode>
                <c:ptCount val="12"/>
                <c:pt idx="0" formatCode="General">
                  <c:v>0</c:v>
                </c:pt>
                <c:pt idx="1">
                  <c:v>2.71762E-3</c:v>
                </c:pt>
                <c:pt idx="2">
                  <c:v>3.8945899999999999E-3</c:v>
                </c:pt>
                <c:pt idx="3">
                  <c:v>5.7107299999999998E-3</c:v>
                </c:pt>
                <c:pt idx="4">
                  <c:v>8.3676099999999993E-3</c:v>
                </c:pt>
                <c:pt idx="5">
                  <c:v>1.21149E-2</c:v>
                </c:pt>
                <c:pt idx="6">
                  <c:v>1.70084E-2</c:v>
                </c:pt>
                <c:pt idx="7">
                  <c:v>2.2449500000000001E-2</c:v>
                </c:pt>
                <c:pt idx="8">
                  <c:v>2.6274700000000002E-2</c:v>
                </c:pt>
                <c:pt idx="9" formatCode="General">
                  <c:v>2.38785E-2</c:v>
                </c:pt>
                <c:pt idx="10" formatCode="General">
                  <c:v>1.0465800000000001E-2</c:v>
                </c:pt>
                <c:pt idx="11" formatCode="General">
                  <c:v>-1.4859300000000001E-4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27-4683-915E-F6C69D253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153551"/>
        <c:axId val="460444767"/>
      </c:scatterChart>
      <c:valAx>
        <c:axId val="78515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44767"/>
        <c:crosses val="autoZero"/>
        <c:crossBetween val="midCat"/>
      </c:valAx>
      <c:valAx>
        <c:axId val="46044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5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c=0.5;theta_0=3;f=0.0175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Sheet2!$AM$5:$AM$16</c:f>
              <c:numCache>
                <c:formatCode>General</c:formatCode>
                <c:ptCount val="12"/>
                <c:pt idx="0">
                  <c:v>0</c:v>
                </c:pt>
                <c:pt idx="1">
                  <c:v>3.5000000000000001E-3</c:v>
                </c:pt>
                <c:pt idx="2">
                  <c:v>5.7499999999999999E-3</c:v>
                </c:pt>
                <c:pt idx="3">
                  <c:v>9.1249999999999994E-3</c:v>
                </c:pt>
                <c:pt idx="4">
                  <c:v>1.41875E-2</c:v>
                </c:pt>
                <c:pt idx="5">
                  <c:v>2.17813E-2</c:v>
                </c:pt>
                <c:pt idx="6">
                  <c:v>3.3171899999999997E-2</c:v>
                </c:pt>
                <c:pt idx="7">
                  <c:v>5.0257799999999998E-2</c:v>
                </c:pt>
                <c:pt idx="8">
                  <c:v>7.5886700000000001E-2</c:v>
                </c:pt>
                <c:pt idx="9">
                  <c:v>0.11433</c:v>
                </c:pt>
                <c:pt idx="10">
                  <c:v>0.17199500000000001</c:v>
                </c:pt>
                <c:pt idx="11">
                  <c:v>0.25849299999999997</c:v>
                </c:pt>
              </c:numCache>
            </c:numRef>
          </c:xVal>
          <c:yVal>
            <c:numRef>
              <c:f>Sheet2!$AN$5:$AN$16</c:f>
              <c:numCache>
                <c:formatCode>General</c:formatCode>
                <c:ptCount val="12"/>
                <c:pt idx="0">
                  <c:v>0</c:v>
                </c:pt>
                <c:pt idx="1">
                  <c:v>3.5175200000000001E-3</c:v>
                </c:pt>
                <c:pt idx="2">
                  <c:v>5.5435700000000003E-3</c:v>
                </c:pt>
                <c:pt idx="3">
                  <c:v>8.5875799999999992E-3</c:v>
                </c:pt>
                <c:pt idx="4">
                  <c:v>1.2936400000000001E-2</c:v>
                </c:pt>
                <c:pt idx="5">
                  <c:v>1.8717000000000001E-2</c:v>
                </c:pt>
                <c:pt idx="6">
                  <c:v>2.5371899999999999E-2</c:v>
                </c:pt>
                <c:pt idx="7">
                  <c:v>3.0495499999999998E-2</c:v>
                </c:pt>
                <c:pt idx="8" formatCode="0.00E+00">
                  <c:v>2.85756E-2</c:v>
                </c:pt>
                <c:pt idx="9" formatCode="0.00E+00">
                  <c:v>1.2304600000000001E-2</c:v>
                </c:pt>
                <c:pt idx="10" formatCode="0.00E+00">
                  <c:v>-8.6819900000000005E-3</c:v>
                </c:pt>
                <c:pt idx="11" formatCode="0.00E+00">
                  <c:v>9.2673500000000003E-6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6B-4163-9EF6-39F3E4CA0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76495"/>
        <c:axId val="692958271"/>
      </c:scatterChart>
      <c:valAx>
        <c:axId val="29237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958271"/>
        <c:crosses val="autoZero"/>
        <c:crossBetween val="midCat"/>
      </c:valAx>
      <c:valAx>
        <c:axId val="69295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7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 = 0;theta_0=3.5;f = 0.028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Sheet2!$G$5:$G$16</c:f>
              <c:numCache>
                <c:formatCode>General</c:formatCode>
                <c:ptCount val="12"/>
                <c:pt idx="0">
                  <c:v>0</c:v>
                </c:pt>
                <c:pt idx="1">
                  <c:v>6.0000000000000001E-3</c:v>
                </c:pt>
                <c:pt idx="2">
                  <c:v>8.9999999999999993E-3</c:v>
                </c:pt>
                <c:pt idx="3">
                  <c:v>1.35E-2</c:v>
                </c:pt>
                <c:pt idx="4">
                  <c:v>2.0250000000000001E-2</c:v>
                </c:pt>
                <c:pt idx="5">
                  <c:v>3.0374999999999999E-2</c:v>
                </c:pt>
                <c:pt idx="6">
                  <c:v>4.5562499999999999E-2</c:v>
                </c:pt>
                <c:pt idx="7">
                  <c:v>6.8343699999999993E-2</c:v>
                </c:pt>
                <c:pt idx="8">
                  <c:v>0.102516</c:v>
                </c:pt>
                <c:pt idx="9">
                  <c:v>0.15377299999999999</c:v>
                </c:pt>
                <c:pt idx="10">
                  <c:v>0.23066</c:v>
                </c:pt>
                <c:pt idx="11">
                  <c:v>0.25949299999999997</c:v>
                </c:pt>
              </c:numCache>
            </c:numRef>
          </c:xVal>
          <c:yVal>
            <c:numRef>
              <c:f>Sheet2!$H$5:$H$16</c:f>
              <c:numCache>
                <c:formatCode>General</c:formatCode>
                <c:ptCount val="12"/>
                <c:pt idx="0">
                  <c:v>0</c:v>
                </c:pt>
                <c:pt idx="1">
                  <c:v>8.3129099999999997E-3</c:v>
                </c:pt>
                <c:pt idx="2">
                  <c:v>1.17076E-2</c:v>
                </c:pt>
                <c:pt idx="3" formatCode="0.00E+00">
                  <c:v>1.6920500000000002E-2</c:v>
                </c:pt>
                <c:pt idx="4">
                  <c:v>2.4225099999999999E-2</c:v>
                </c:pt>
                <c:pt idx="5">
                  <c:v>3.36295E-2</c:v>
                </c:pt>
                <c:pt idx="6">
                  <c:v>4.3684300000000002E-2</c:v>
                </c:pt>
                <c:pt idx="7">
                  <c:v>4.9740300000000001E-2</c:v>
                </c:pt>
                <c:pt idx="8">
                  <c:v>4.2392600000000003E-2</c:v>
                </c:pt>
                <c:pt idx="9">
                  <c:v>1.2865100000000001E-2</c:v>
                </c:pt>
                <c:pt idx="10">
                  <c:v>-5.3462300000000004E-3</c:v>
                </c:pt>
                <c:pt idx="11" formatCode="0.00E+00">
                  <c:v>9.6025699999999998E-6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C4-4C7F-B281-B3EDD7D9A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552271"/>
        <c:axId val="786229055"/>
      </c:scatterChart>
      <c:valAx>
        <c:axId val="78955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29055"/>
        <c:crosses val="autoZero"/>
        <c:crossBetween val="midCat"/>
      </c:valAx>
      <c:valAx>
        <c:axId val="78622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55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Sheet2!$AW$5:$AW$15</c:f>
              <c:numCache>
                <c:formatCode>General</c:formatCode>
                <c:ptCount val="11"/>
                <c:pt idx="0">
                  <c:v>0</c:v>
                </c:pt>
                <c:pt idx="1">
                  <c:v>7.4999899999999998E-3</c:v>
                </c:pt>
                <c:pt idx="2">
                  <c:v>1.125E-2</c:v>
                </c:pt>
                <c:pt idx="3">
                  <c:v>1.6875000000000001E-2</c:v>
                </c:pt>
                <c:pt idx="4">
                  <c:v>2.5312500000000002E-2</c:v>
                </c:pt>
                <c:pt idx="5">
                  <c:v>3.7968700000000001E-2</c:v>
                </c:pt>
                <c:pt idx="6">
                  <c:v>5.69531E-2</c:v>
                </c:pt>
                <c:pt idx="7">
                  <c:v>8.5429699999999997E-2</c:v>
                </c:pt>
                <c:pt idx="8">
                  <c:v>0.12814500000000001</c:v>
                </c:pt>
                <c:pt idx="9">
                  <c:v>0.192217</c:v>
                </c:pt>
                <c:pt idx="10">
                  <c:v>0.21624399999999999</c:v>
                </c:pt>
              </c:numCache>
            </c:numRef>
          </c:xVal>
          <c:yVal>
            <c:numRef>
              <c:f>Sheet2!$AX$5:$AX$15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5.86244E-3</c:v>
                </c:pt>
                <c:pt idx="2">
                  <c:v>8.2474499999999999E-3</c:v>
                </c:pt>
                <c:pt idx="3">
                  <c:v>1.1674800000000001E-2</c:v>
                </c:pt>
                <c:pt idx="4">
                  <c:v>1.5958E-2</c:v>
                </c:pt>
                <c:pt idx="5">
                  <c:v>2.0205600000000001E-2</c:v>
                </c:pt>
                <c:pt idx="6">
                  <c:v>2.1936299999999999E-2</c:v>
                </c:pt>
                <c:pt idx="7">
                  <c:v>1.67076E-2</c:v>
                </c:pt>
                <c:pt idx="8">
                  <c:v>2.6533300000000002E-3</c:v>
                </c:pt>
                <c:pt idx="9">
                  <c:v>8.6213499999999998E-7</c:v>
                </c:pt>
                <c:pt idx="10">
                  <c:v>4.4932399999999997E-9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DE-4610-AB55-061BF3E3D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450143"/>
        <c:axId val="297450559"/>
      </c:scatterChart>
      <c:valAx>
        <c:axId val="29745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50559"/>
        <c:crosses val="autoZero"/>
        <c:crossBetween val="midCat"/>
      </c:valAx>
      <c:valAx>
        <c:axId val="29745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5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</a:t>
            </a:r>
            <a:r>
              <a:rPr lang="en-IN" baseline="0"/>
              <a:t> =0;</a:t>
            </a:r>
            <a:r>
              <a:rPr lang="en-IN" sz="1400" b="1" i="0" u="none" strike="noStrike" baseline="0">
                <a:effectLst/>
              </a:rPr>
              <a:t>Theta_0 = 4.5, f = 0.015</a:t>
            </a:r>
            <a:r>
              <a:rPr lang="en-IN" sz="1400" b="0" i="0" u="none" strike="noStrike" baseline="0"/>
              <a:t> </a:t>
            </a:r>
            <a:r>
              <a:rPr lang="en-IN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Sheet2!$M$5:$M$19</c:f>
              <c:numCache>
                <c:formatCode>0.00E+00</c:formatCode>
                <c:ptCount val="15"/>
                <c:pt idx="0" formatCode="General">
                  <c:v>0</c:v>
                </c:pt>
                <c:pt idx="1">
                  <c:v>7.4999999999999997E-3</c:v>
                </c:pt>
                <c:pt idx="2" formatCode="General">
                  <c:v>1.125E-2</c:v>
                </c:pt>
                <c:pt idx="3" formatCode="General">
                  <c:v>1.6875000000000001E-2</c:v>
                </c:pt>
                <c:pt idx="4" formatCode="General">
                  <c:v>2.5312500000000002E-2</c:v>
                </c:pt>
                <c:pt idx="5" formatCode="General">
                  <c:v>3.7968799999999997E-2</c:v>
                </c:pt>
                <c:pt idx="6" formatCode="General">
                  <c:v>5.69531E-2</c:v>
                </c:pt>
                <c:pt idx="7" formatCode="General">
                  <c:v>8.5429699999999997E-2</c:v>
                </c:pt>
                <c:pt idx="8" formatCode="General">
                  <c:v>0.12814500000000001</c:v>
                </c:pt>
                <c:pt idx="9" formatCode="General">
                  <c:v>0.192217</c:v>
                </c:pt>
                <c:pt idx="10">
                  <c:v>0.21624399999999999</c:v>
                </c:pt>
                <c:pt idx="11">
                  <c:v>0.25228499999999998</c:v>
                </c:pt>
                <c:pt idx="12">
                  <c:v>0.30634600000000001</c:v>
                </c:pt>
                <c:pt idx="13">
                  <c:v>0.38743699999999998</c:v>
                </c:pt>
                <c:pt idx="14" formatCode="General">
                  <c:v>0.41784700000000002</c:v>
                </c:pt>
              </c:numCache>
            </c:numRef>
          </c:xVal>
          <c:yVal>
            <c:numRef>
              <c:f>Sheet2!$N$5:$N$19</c:f>
              <c:numCache>
                <c:formatCode>0.00E+00</c:formatCode>
                <c:ptCount val="15"/>
                <c:pt idx="0" formatCode="General">
                  <c:v>0</c:v>
                </c:pt>
                <c:pt idx="1">
                  <c:v>1.42764E-2</c:v>
                </c:pt>
                <c:pt idx="2" formatCode="General">
                  <c:v>2.0266900000000001E-2</c:v>
                </c:pt>
                <c:pt idx="3" formatCode="General">
                  <c:v>2.9345199999999998E-2</c:v>
                </c:pt>
                <c:pt idx="4" formatCode="General">
                  <c:v>4.1951000000000002E-2</c:v>
                </c:pt>
                <c:pt idx="5" formatCode="General">
                  <c:v>5.7799299999999998E-2</c:v>
                </c:pt>
                <c:pt idx="6" formatCode="General">
                  <c:v>7.3573899999999998E-2</c:v>
                </c:pt>
                <c:pt idx="7" formatCode="General">
                  <c:v>7.9671199999999998E-2</c:v>
                </c:pt>
                <c:pt idx="8" formatCode="General">
                  <c:v>5.7883999999999998E-2</c:v>
                </c:pt>
                <c:pt idx="9" formatCode="General">
                  <c:v>-5.3055100000000003E-3</c:v>
                </c:pt>
                <c:pt idx="10">
                  <c:v>-2.5480900000000001E-2</c:v>
                </c:pt>
                <c:pt idx="11">
                  <c:v>-3.99073E-2</c:v>
                </c:pt>
                <c:pt idx="12">
                  <c:v>-8.5685699999999993E-3</c:v>
                </c:pt>
                <c:pt idx="13">
                  <c:v>1.1804899999999999E-6</c:v>
                </c:pt>
                <c:pt idx="14">
                  <c:v>1.16052E-9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D1-4091-BED9-5CB5D031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154383"/>
        <c:axId val="789551023"/>
      </c:scatterChart>
      <c:valAx>
        <c:axId val="78515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551023"/>
        <c:crosses val="autoZero"/>
        <c:crossBetween val="midCat"/>
      </c:valAx>
      <c:valAx>
        <c:axId val="78955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5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 = 0;</a:t>
            </a:r>
            <a:r>
              <a:rPr lang="en-IN" sz="1400" b="1" i="0" u="none" strike="noStrike" baseline="0">
                <a:effectLst/>
              </a:rPr>
              <a:t>Theta_0 = 4, f = 0.02</a:t>
            </a:r>
            <a:r>
              <a:rPr lang="en-IN" sz="1400" b="0" i="0" u="none" strike="noStrike" baseline="0"/>
              <a:t> 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Sheet2!$K$5:$K$15</c:f>
              <c:numCache>
                <c:formatCode>General</c:formatCode>
                <c:ptCount val="11"/>
                <c:pt idx="0">
                  <c:v>0</c:v>
                </c:pt>
                <c:pt idx="1">
                  <c:v>3.5000000000000001E-3</c:v>
                </c:pt>
                <c:pt idx="2">
                  <c:v>5.7499999999999999E-3</c:v>
                </c:pt>
                <c:pt idx="3">
                  <c:v>9.1249999999999994E-3</c:v>
                </c:pt>
                <c:pt idx="4">
                  <c:v>1.41875E-2</c:v>
                </c:pt>
                <c:pt idx="5">
                  <c:v>2.1781200000000001E-2</c:v>
                </c:pt>
                <c:pt idx="6">
                  <c:v>3.3171899999999997E-2</c:v>
                </c:pt>
                <c:pt idx="7">
                  <c:v>5.0257799999999998E-2</c:v>
                </c:pt>
                <c:pt idx="8">
                  <c:v>7.5886700000000001E-2</c:v>
                </c:pt>
                <c:pt idx="9">
                  <c:v>0.11433</c:v>
                </c:pt>
                <c:pt idx="10">
                  <c:v>0.17199500000000001</c:v>
                </c:pt>
              </c:numCache>
            </c:numRef>
          </c:xVal>
          <c:yVal>
            <c:numRef>
              <c:f>Sheet2!$L$5:$L$15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5.6108E-3</c:v>
                </c:pt>
                <c:pt idx="2" formatCode="General">
                  <c:v>8.8072900000000006E-3</c:v>
                </c:pt>
                <c:pt idx="3" formatCode="General">
                  <c:v>1.36895E-2</c:v>
                </c:pt>
                <c:pt idx="4" formatCode="General">
                  <c:v>2.0790300000000001E-2</c:v>
                </c:pt>
                <c:pt idx="5" formatCode="General">
                  <c:v>3.0645499999999999E-2</c:v>
                </c:pt>
                <c:pt idx="6" formatCode="General">
                  <c:v>4.3166799999999998E-2</c:v>
                </c:pt>
                <c:pt idx="7" formatCode="General">
                  <c:v>5.6151E-2</c:v>
                </c:pt>
                <c:pt idx="8" formatCode="General">
                  <c:v>6.2818600000000002E-2</c:v>
                </c:pt>
                <c:pt idx="9" formatCode="General">
                  <c:v>4.9853599999999998E-2</c:v>
                </c:pt>
                <c:pt idx="10">
                  <c:v>6.0916399999999997E-3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B4-482F-A011-8349557D2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153551"/>
        <c:axId val="785155215"/>
      </c:scatterChart>
      <c:valAx>
        <c:axId val="78515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55215"/>
        <c:crosses val="autoZero"/>
        <c:crossBetween val="midCat"/>
      </c:valAx>
      <c:valAx>
        <c:axId val="78515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5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Sheet2!#REF!</c:f>
            </c:numRef>
          </c:xVal>
          <c:y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B1-4AA1-99EF-5AE8986A5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156879"/>
        <c:axId val="692957855"/>
      </c:scatterChart>
      <c:valAx>
        <c:axId val="78515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957855"/>
        <c:crosses val="autoZero"/>
        <c:crossBetween val="midCat"/>
      </c:valAx>
      <c:valAx>
        <c:axId val="69295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5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</a:t>
            </a:r>
            <a:r>
              <a:rPr lang="en-IN" baseline="0"/>
              <a:t>=0;theta_0=5.5;f=0.0001</a:t>
            </a:r>
            <a:endParaRPr lang="en-IN"/>
          </a:p>
        </c:rich>
      </c:tx>
      <c:layout>
        <c:manualLayout>
          <c:xMode val="edge"/>
          <c:yMode val="edge"/>
          <c:x val="0.32060411198600175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Sheet2!$O$5:$O$18</c:f>
              <c:numCache>
                <c:formatCode>General</c:formatCode>
                <c:ptCount val="14"/>
                <c:pt idx="0">
                  <c:v>0</c:v>
                </c:pt>
                <c:pt idx="1">
                  <c:v>8.7500000000000008E-3</c:v>
                </c:pt>
                <c:pt idx="2">
                  <c:v>1.4375000000000001E-2</c:v>
                </c:pt>
                <c:pt idx="3">
                  <c:v>2.2812499999999999E-2</c:v>
                </c:pt>
                <c:pt idx="4">
                  <c:v>3.5468699999999999E-2</c:v>
                </c:pt>
                <c:pt idx="5">
                  <c:v>5.4453099999999997E-2</c:v>
                </c:pt>
                <c:pt idx="6">
                  <c:v>8.2929699999999995E-2</c:v>
                </c:pt>
                <c:pt idx="7">
                  <c:v>0.12564500000000001</c:v>
                </c:pt>
                <c:pt idx="8" formatCode="0.00E+00">
                  <c:v>0.189717</c:v>
                </c:pt>
                <c:pt idx="9" formatCode="0.00E+00">
                  <c:v>0.21374399999999999</c:v>
                </c:pt>
                <c:pt idx="10" formatCode="0.00E+00">
                  <c:v>0.24978400000000001</c:v>
                </c:pt>
                <c:pt idx="11" formatCode="0.00E+00">
                  <c:v>0.30384499999999998</c:v>
                </c:pt>
                <c:pt idx="12" formatCode="0.00E+00">
                  <c:v>0.38493699999999997</c:v>
                </c:pt>
                <c:pt idx="13" formatCode="0.00E+00">
                  <c:v>0.41534599999999999</c:v>
                </c:pt>
              </c:numCache>
            </c:numRef>
          </c:xVal>
          <c:yVal>
            <c:numRef>
              <c:f>Sheet2!$P$5:$P$18</c:f>
              <c:numCache>
                <c:formatCode>General</c:formatCode>
                <c:ptCount val="14"/>
                <c:pt idx="0">
                  <c:v>0</c:v>
                </c:pt>
                <c:pt idx="1">
                  <c:v>2.0548299999999999E-2</c:v>
                </c:pt>
                <c:pt idx="2">
                  <c:v>3.3064000000000003E-2</c:v>
                </c:pt>
                <c:pt idx="3">
                  <c:v>5.0664599999999997E-2</c:v>
                </c:pt>
                <c:pt idx="4">
                  <c:v>7.3690400000000003E-2</c:v>
                </c:pt>
                <c:pt idx="5">
                  <c:v>9.9112699999999998E-2</c:v>
                </c:pt>
                <c:pt idx="6">
                  <c:v>0.115185</c:v>
                </c:pt>
                <c:pt idx="7">
                  <c:v>9.6067299999999994E-2</c:v>
                </c:pt>
                <c:pt idx="8" formatCode="0.00E+00">
                  <c:v>7.2010900000000003E-3</c:v>
                </c:pt>
                <c:pt idx="9" formatCode="0.00E+00">
                  <c:v>-3.1460599999999998E-2</c:v>
                </c:pt>
                <c:pt idx="10" formatCode="0.00E+00">
                  <c:v>-8.1212400000000004E-2</c:v>
                </c:pt>
                <c:pt idx="11" formatCode="0.00E+00">
                  <c:v>-0.11057500000000001</c:v>
                </c:pt>
                <c:pt idx="12" formatCode="0.00E+00">
                  <c:v>4.9089999999999995E-4</c:v>
                </c:pt>
                <c:pt idx="13" formatCode="0.00E+00">
                  <c:v>2.4229499999999998E-6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81-4BFD-9AA7-160C0C2A8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438719"/>
        <c:axId val="462437887"/>
      </c:scatterChart>
      <c:valAx>
        <c:axId val="46243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37887"/>
        <c:crosses val="autoZero"/>
        <c:crossBetween val="midCat"/>
      </c:valAx>
      <c:valAx>
        <c:axId val="46243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3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Sheet2!#REF!</c:f>
            </c:numRef>
          </c:xVal>
          <c:yVal>
            <c:numRef>
              <c:f>Sheet2!#REF!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09-4760-AC64-17869A252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551439"/>
        <c:axId val="789551855"/>
      </c:scatterChart>
      <c:valAx>
        <c:axId val="78955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551855"/>
        <c:crosses val="autoZero"/>
        <c:crossBetween val="midCat"/>
      </c:valAx>
      <c:valAx>
        <c:axId val="78955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55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Sheet2!$BM$5:$BM$16</c:f>
              <c:numCache>
                <c:formatCode>General</c:formatCode>
                <c:ptCount val="12"/>
                <c:pt idx="0">
                  <c:v>0</c:v>
                </c:pt>
                <c:pt idx="1">
                  <c:v>7.4999999999999997E-3</c:v>
                </c:pt>
                <c:pt idx="2">
                  <c:v>1.125E-2</c:v>
                </c:pt>
                <c:pt idx="3">
                  <c:v>1.6875000000000001E-2</c:v>
                </c:pt>
                <c:pt idx="4">
                  <c:v>2.5312500000000002E-2</c:v>
                </c:pt>
                <c:pt idx="5">
                  <c:v>3.7968799999999997E-2</c:v>
                </c:pt>
                <c:pt idx="6">
                  <c:v>5.69531E-2</c:v>
                </c:pt>
                <c:pt idx="7">
                  <c:v>8.5429699999999997E-2</c:v>
                </c:pt>
                <c:pt idx="8">
                  <c:v>0.12814500000000001</c:v>
                </c:pt>
                <c:pt idx="9">
                  <c:v>0.192217</c:v>
                </c:pt>
                <c:pt idx="10">
                  <c:v>0.21624399999999999</c:v>
                </c:pt>
              </c:numCache>
            </c:numRef>
          </c:xVal>
          <c:yVal>
            <c:numRef>
              <c:f>Sheet2!$BN$5:$BN$16</c:f>
              <c:numCache>
                <c:formatCode>General</c:formatCode>
                <c:ptCount val="12"/>
                <c:pt idx="0">
                  <c:v>0</c:v>
                </c:pt>
                <c:pt idx="1">
                  <c:v>4.8072499999999999E-3</c:v>
                </c:pt>
                <c:pt idx="2">
                  <c:v>6.8887000000000002E-3</c:v>
                </c:pt>
                <c:pt idx="3">
                  <c:v>9.7196999999999995E-3</c:v>
                </c:pt>
                <c:pt idx="4">
                  <c:v>1.3071899999999999E-2</c:v>
                </c:pt>
                <c:pt idx="5">
                  <c:v>1.5806199999999999E-2</c:v>
                </c:pt>
                <c:pt idx="6">
                  <c:v>1.51153E-2</c:v>
                </c:pt>
                <c:pt idx="7">
                  <c:v>6.78109E-3</c:v>
                </c:pt>
                <c:pt idx="8">
                  <c:v>-7.0986900000000004E-3</c:v>
                </c:pt>
                <c:pt idx="9" formatCode="0.00E+00">
                  <c:v>1.0108100000000001E-5</c:v>
                </c:pt>
                <c:pt idx="10" formatCode="0.00E+00">
                  <c:v>5.2784799999999997E-10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B5-4A4C-9EF1-B29EF8026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154383"/>
        <c:axId val="785155631"/>
      </c:scatterChart>
      <c:valAx>
        <c:axId val="78515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55631"/>
        <c:crosses val="autoZero"/>
        <c:crossBetween val="midCat"/>
      </c:valAx>
      <c:valAx>
        <c:axId val="7851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15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Sheet2!$BM$5:$BM$15</c:f>
              <c:numCache>
                <c:formatCode>General</c:formatCode>
                <c:ptCount val="11"/>
                <c:pt idx="0">
                  <c:v>0</c:v>
                </c:pt>
                <c:pt idx="1">
                  <c:v>7.4999999999999997E-3</c:v>
                </c:pt>
                <c:pt idx="2">
                  <c:v>1.125E-2</c:v>
                </c:pt>
                <c:pt idx="3">
                  <c:v>1.6875000000000001E-2</c:v>
                </c:pt>
                <c:pt idx="4">
                  <c:v>2.5312500000000002E-2</c:v>
                </c:pt>
                <c:pt idx="5">
                  <c:v>3.7968799999999997E-2</c:v>
                </c:pt>
                <c:pt idx="6">
                  <c:v>5.69531E-2</c:v>
                </c:pt>
                <c:pt idx="7">
                  <c:v>8.5429699999999997E-2</c:v>
                </c:pt>
                <c:pt idx="8">
                  <c:v>0.12814500000000001</c:v>
                </c:pt>
                <c:pt idx="9">
                  <c:v>0.192217</c:v>
                </c:pt>
                <c:pt idx="10">
                  <c:v>0.21624399999999999</c:v>
                </c:pt>
              </c:numCache>
            </c:numRef>
          </c:xVal>
          <c:yVal>
            <c:numRef>
              <c:f>Sheet2!$BN$5:$BN$15</c:f>
              <c:numCache>
                <c:formatCode>General</c:formatCode>
                <c:ptCount val="11"/>
                <c:pt idx="0">
                  <c:v>0</c:v>
                </c:pt>
                <c:pt idx="1">
                  <c:v>4.8072499999999999E-3</c:v>
                </c:pt>
                <c:pt idx="2">
                  <c:v>6.8887000000000002E-3</c:v>
                </c:pt>
                <c:pt idx="3">
                  <c:v>9.7196999999999995E-3</c:v>
                </c:pt>
                <c:pt idx="4">
                  <c:v>1.3071899999999999E-2</c:v>
                </c:pt>
                <c:pt idx="5">
                  <c:v>1.5806199999999999E-2</c:v>
                </c:pt>
                <c:pt idx="6">
                  <c:v>1.51153E-2</c:v>
                </c:pt>
                <c:pt idx="7">
                  <c:v>6.78109E-3</c:v>
                </c:pt>
                <c:pt idx="8">
                  <c:v>-7.0986900000000004E-3</c:v>
                </c:pt>
                <c:pt idx="9" formatCode="0.00E+00">
                  <c:v>1.0108100000000001E-5</c:v>
                </c:pt>
                <c:pt idx="10" formatCode="0.00E+00">
                  <c:v>5.2784799999999997E-10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AF-4FF6-B4E7-B8B40B437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792431"/>
        <c:axId val="705792015"/>
      </c:scatterChart>
      <c:valAx>
        <c:axId val="70579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92015"/>
        <c:crosses val="autoZero"/>
        <c:crossBetween val="midCat"/>
      </c:valAx>
      <c:valAx>
        <c:axId val="7057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9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9525</xdr:rowOff>
    </xdr:from>
    <xdr:to>
      <xdr:col>4</xdr:col>
      <xdr:colOff>171450</xdr:colOff>
      <xdr:row>39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21</xdr:row>
      <xdr:rowOff>19050</xdr:rowOff>
    </xdr:from>
    <xdr:to>
      <xdr:col>5</xdr:col>
      <xdr:colOff>180975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152400</xdr:colOff>
      <xdr:row>37</xdr:row>
      <xdr:rowOff>95250</xdr:rowOff>
    </xdr:from>
    <xdr:to>
      <xdr:col>11</xdr:col>
      <xdr:colOff>1009650</xdr:colOff>
      <xdr:row>55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34</xdr:row>
      <xdr:rowOff>47625</xdr:rowOff>
    </xdr:from>
    <xdr:to>
      <xdr:col>4</xdr:col>
      <xdr:colOff>190500</xdr:colOff>
      <xdr:row>48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323850</xdr:colOff>
      <xdr:row>34</xdr:row>
      <xdr:rowOff>104775</xdr:rowOff>
    </xdr:from>
    <xdr:to>
      <xdr:col>7</xdr:col>
      <xdr:colOff>1190625</xdr:colOff>
      <xdr:row>48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219075</xdr:colOff>
      <xdr:row>34</xdr:row>
      <xdr:rowOff>133350</xdr:rowOff>
    </xdr:from>
    <xdr:to>
      <xdr:col>37</xdr:col>
      <xdr:colOff>581025</xdr:colOff>
      <xdr:row>49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25</xdr:row>
      <xdr:rowOff>152400</xdr:rowOff>
    </xdr:from>
    <xdr:to>
      <xdr:col>6</xdr:col>
      <xdr:colOff>314325</xdr:colOff>
      <xdr:row>38</xdr:row>
      <xdr:rowOff>104775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64</xdr:col>
      <xdr:colOff>647700</xdr:colOff>
      <xdr:row>25</xdr:row>
      <xdr:rowOff>219075</xdr:rowOff>
    </xdr:from>
    <xdr:to>
      <xdr:col>67</xdr:col>
      <xdr:colOff>628650</xdr:colOff>
      <xdr:row>39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581025</xdr:colOff>
      <xdr:row>19</xdr:row>
      <xdr:rowOff>152400</xdr:rowOff>
    </xdr:from>
    <xdr:to>
      <xdr:col>43</xdr:col>
      <xdr:colOff>1133475</xdr:colOff>
      <xdr:row>31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304800</xdr:colOff>
      <xdr:row>17</xdr:row>
      <xdr:rowOff>257175</xdr:rowOff>
    </xdr:from>
    <xdr:to>
      <xdr:col>7</xdr:col>
      <xdr:colOff>66675</xdr:colOff>
      <xdr:row>29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66</xdr:col>
      <xdr:colOff>19050</xdr:colOff>
      <xdr:row>21</xdr:row>
      <xdr:rowOff>200025</xdr:rowOff>
    </xdr:from>
    <xdr:to>
      <xdr:col>69</xdr:col>
      <xdr:colOff>342900</xdr:colOff>
      <xdr:row>33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638175</xdr:colOff>
      <xdr:row>39</xdr:row>
      <xdr:rowOff>123825</xdr:rowOff>
    </xdr:from>
    <xdr:to>
      <xdr:col>37</xdr:col>
      <xdr:colOff>1143000</xdr:colOff>
      <xdr:row>54</xdr:row>
      <xdr:rowOff>9525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74</xdr:col>
      <xdr:colOff>76200</xdr:colOff>
      <xdr:row>19</xdr:row>
      <xdr:rowOff>28575</xdr:rowOff>
    </xdr:from>
    <xdr:to>
      <xdr:col>76</xdr:col>
      <xdr:colOff>1238250</xdr:colOff>
      <xdr:row>30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78</xdr:col>
      <xdr:colOff>714375</xdr:colOff>
      <xdr:row>20</xdr:row>
      <xdr:rowOff>38100</xdr:rowOff>
    </xdr:from>
    <xdr:to>
      <xdr:col>81</xdr:col>
      <xdr:colOff>600075</xdr:colOff>
      <xdr:row>31</xdr:row>
      <xdr:rowOff>161925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75</xdr:col>
      <xdr:colOff>1247775</xdr:colOff>
      <xdr:row>19</xdr:row>
      <xdr:rowOff>28575</xdr:rowOff>
    </xdr:from>
    <xdr:to>
      <xdr:col>78</xdr:col>
      <xdr:colOff>1019175</xdr:colOff>
      <xdr:row>29</xdr:row>
      <xdr:rowOff>104775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"/>
  <sheetViews>
    <sheetView topLeftCell="R1" workbookViewId="0">
      <selection activeCell="L8" sqref="L8"/>
    </sheetView>
  </sheetViews>
  <sheetFormatPr defaultRowHeight="15" x14ac:dyDescent="0.25"/>
  <cols>
    <col min="1" max="1" width="10.7109375" customWidth="1"/>
    <col min="2" max="2" width="15.42578125" customWidth="1"/>
    <col min="3" max="3" width="18.28515625" customWidth="1"/>
    <col min="4" max="4" width="22.85546875" customWidth="1"/>
    <col min="5" max="5" width="18.85546875" customWidth="1"/>
    <col min="6" max="7" width="12.7109375" customWidth="1"/>
    <col min="8" max="8" width="24.28515625" customWidth="1"/>
    <col min="9" max="10" width="22.28515625" customWidth="1"/>
    <col min="11" max="11" width="23.28515625" customWidth="1"/>
    <col min="12" max="12" width="24.42578125" customWidth="1"/>
    <col min="13" max="13" width="15.140625" customWidth="1"/>
    <col min="14" max="14" width="11.140625" customWidth="1"/>
    <col min="15" max="15" width="18.28515625" customWidth="1"/>
    <col min="16" max="16" width="17.42578125" customWidth="1"/>
    <col min="17" max="17" width="25.85546875" customWidth="1"/>
    <col min="18" max="18" width="20.85546875" customWidth="1"/>
    <col min="19" max="21" width="13.140625" customWidth="1"/>
    <col min="22" max="22" width="20.5703125" customWidth="1"/>
    <col min="23" max="23" width="24.5703125" customWidth="1"/>
    <col min="24" max="24" width="18.28515625" customWidth="1"/>
    <col min="25" max="26" width="13.140625" customWidth="1"/>
    <col min="27" max="27" width="12" customWidth="1"/>
    <col min="28" max="28" width="16.140625" customWidth="1"/>
    <col min="29" max="31" width="18.5703125" customWidth="1"/>
    <col min="32" max="32" width="20" customWidth="1"/>
    <col min="33" max="33" width="7.7109375" customWidth="1"/>
    <col min="34" max="34" width="18" customWidth="1"/>
    <col min="35" max="35" width="21.140625" customWidth="1"/>
    <col min="36" max="36" width="18.7109375" customWidth="1"/>
    <col min="37" max="37" width="17.85546875" customWidth="1"/>
    <col min="38" max="38" width="17.42578125" customWidth="1"/>
    <col min="39" max="39" width="17.5703125" customWidth="1"/>
    <col min="40" max="40" width="14.42578125" customWidth="1"/>
    <col min="41" max="41" width="17.7109375" customWidth="1"/>
    <col min="42" max="42" width="19.28515625" customWidth="1"/>
    <col min="43" max="43" width="21.28515625" customWidth="1"/>
    <col min="44" max="44" width="20.5703125" customWidth="1"/>
    <col min="45" max="45" width="17.85546875" customWidth="1"/>
  </cols>
  <sheetData>
    <row r="1" spans="1:45" ht="31.5" customHeight="1" thickBot="1" x14ac:dyDescent="0.3">
      <c r="A1" s="281" t="s">
        <v>16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62"/>
      <c r="AI1" s="262"/>
      <c r="AJ1" s="262"/>
      <c r="AK1" s="262"/>
      <c r="AL1" s="262"/>
      <c r="AM1" s="262"/>
    </row>
    <row r="2" spans="1:45" ht="27.75" customHeight="1" x14ac:dyDescent="0.35">
      <c r="A2" s="288" t="s">
        <v>14</v>
      </c>
      <c r="B2" s="288"/>
      <c r="C2" s="288"/>
      <c r="D2" s="288"/>
      <c r="E2" s="288"/>
      <c r="F2" s="288"/>
      <c r="G2" s="285" t="s">
        <v>38</v>
      </c>
      <c r="H2" s="286"/>
      <c r="I2" s="286"/>
      <c r="J2" s="286"/>
      <c r="K2" s="286"/>
      <c r="L2" s="286"/>
      <c r="M2" s="287"/>
      <c r="N2" s="289" t="s">
        <v>15</v>
      </c>
      <c r="O2" s="290"/>
      <c r="P2" s="290"/>
      <c r="Q2" s="290"/>
      <c r="R2" s="290"/>
      <c r="S2" s="291"/>
      <c r="T2" s="292" t="s">
        <v>76</v>
      </c>
      <c r="U2" s="293"/>
      <c r="V2" s="293"/>
      <c r="W2" s="293"/>
      <c r="X2" s="293"/>
      <c r="Y2" s="293"/>
      <c r="Z2" s="294"/>
      <c r="AA2" s="278" t="s">
        <v>13</v>
      </c>
      <c r="AB2" s="279"/>
      <c r="AC2" s="279"/>
      <c r="AD2" s="279"/>
      <c r="AE2" s="279"/>
      <c r="AF2" s="279"/>
      <c r="AG2" s="280"/>
      <c r="AH2" s="282" t="s">
        <v>74</v>
      </c>
      <c r="AI2" s="283"/>
      <c r="AJ2" s="283"/>
      <c r="AK2" s="283"/>
      <c r="AL2" s="283"/>
      <c r="AM2" s="284"/>
      <c r="AN2" s="282" t="s">
        <v>37</v>
      </c>
      <c r="AO2" s="283"/>
      <c r="AP2" s="283"/>
      <c r="AQ2" s="283"/>
      <c r="AR2" s="283"/>
      <c r="AS2" s="284"/>
    </row>
    <row r="3" spans="1:45" ht="93.75" x14ac:dyDescent="0.35">
      <c r="A3" s="24" t="s">
        <v>0</v>
      </c>
      <c r="B3" s="23" t="s">
        <v>1</v>
      </c>
      <c r="C3" s="23" t="s">
        <v>50</v>
      </c>
      <c r="D3" s="23" t="s">
        <v>31</v>
      </c>
      <c r="E3" s="24" t="s">
        <v>3</v>
      </c>
      <c r="F3" s="23" t="s">
        <v>4</v>
      </c>
      <c r="G3" s="24" t="s">
        <v>0</v>
      </c>
      <c r="H3" s="23" t="s">
        <v>1</v>
      </c>
      <c r="I3" s="23" t="s">
        <v>2</v>
      </c>
      <c r="J3" s="23" t="s">
        <v>50</v>
      </c>
      <c r="K3" s="23" t="s">
        <v>31</v>
      </c>
      <c r="L3" s="24" t="s">
        <v>3</v>
      </c>
      <c r="M3" s="23" t="s">
        <v>4</v>
      </c>
      <c r="N3" s="35" t="s">
        <v>0</v>
      </c>
      <c r="O3" s="23" t="s">
        <v>1</v>
      </c>
      <c r="P3" s="23" t="s">
        <v>49</v>
      </c>
      <c r="Q3" s="23" t="s">
        <v>31</v>
      </c>
      <c r="R3" s="24" t="s">
        <v>3</v>
      </c>
      <c r="S3" s="25"/>
      <c r="T3" s="35" t="s">
        <v>0</v>
      </c>
      <c r="U3" s="23" t="s">
        <v>1</v>
      </c>
      <c r="V3" s="23" t="s">
        <v>49</v>
      </c>
      <c r="W3" s="23" t="s">
        <v>31</v>
      </c>
      <c r="X3" s="24" t="s">
        <v>3</v>
      </c>
      <c r="Y3" s="263"/>
      <c r="Z3" s="263"/>
      <c r="AA3" s="22" t="s">
        <v>0</v>
      </c>
      <c r="AB3" s="23" t="s">
        <v>1</v>
      </c>
      <c r="AC3" s="23" t="s">
        <v>2</v>
      </c>
      <c r="AD3" s="23" t="s">
        <v>49</v>
      </c>
      <c r="AE3" s="23" t="s">
        <v>31</v>
      </c>
      <c r="AF3" s="24" t="s">
        <v>3</v>
      </c>
      <c r="AG3" s="25" t="s">
        <v>4</v>
      </c>
      <c r="AH3" s="22" t="s">
        <v>0</v>
      </c>
      <c r="AI3" s="23" t="s">
        <v>1</v>
      </c>
      <c r="AJ3" s="23" t="s">
        <v>2</v>
      </c>
      <c r="AK3" s="23" t="s">
        <v>49</v>
      </c>
      <c r="AL3" s="23" t="s">
        <v>31</v>
      </c>
      <c r="AM3" s="24" t="s">
        <v>3</v>
      </c>
      <c r="AN3" s="25"/>
      <c r="AO3" s="138" t="s">
        <v>1</v>
      </c>
      <c r="AP3" s="23" t="s">
        <v>49</v>
      </c>
      <c r="AQ3" s="138" t="s">
        <v>31</v>
      </c>
      <c r="AR3" s="139" t="s">
        <v>3</v>
      </c>
      <c r="AS3" s="140" t="s">
        <v>4</v>
      </c>
    </row>
    <row r="4" spans="1:45" ht="23.25" x14ac:dyDescent="0.3">
      <c r="A4" s="117">
        <v>2</v>
      </c>
      <c r="B4" s="117">
        <v>6.5000000000000002E-2</v>
      </c>
      <c r="C4" s="119">
        <v>1.9662E-4</v>
      </c>
      <c r="D4" s="119">
        <v>3.1754000000000001E-6</v>
      </c>
      <c r="E4" s="133">
        <v>1.4296999999999999E-7</v>
      </c>
      <c r="F4" s="118"/>
      <c r="G4" s="174">
        <v>2</v>
      </c>
      <c r="H4" s="274"/>
      <c r="I4" s="274"/>
      <c r="J4" s="163"/>
      <c r="K4" s="274"/>
      <c r="L4" s="239">
        <v>1.6768E-7</v>
      </c>
      <c r="M4" s="118"/>
      <c r="N4" s="117">
        <v>2</v>
      </c>
      <c r="O4" s="117"/>
      <c r="P4" s="120">
        <v>3.2112999999999998E-4</v>
      </c>
      <c r="Q4" s="119">
        <v>4.5512999999999999E-6</v>
      </c>
      <c r="R4" s="135">
        <v>1.9943999999999999E-7</v>
      </c>
      <c r="S4" s="154"/>
      <c r="T4" s="154"/>
      <c r="U4" s="154"/>
      <c r="V4" s="154"/>
      <c r="W4" s="154"/>
      <c r="X4" s="154"/>
      <c r="Y4" s="154"/>
      <c r="Z4" s="154"/>
      <c r="AA4" s="117">
        <v>2</v>
      </c>
      <c r="AB4" s="117">
        <v>0.05</v>
      </c>
      <c r="AC4" s="170">
        <v>1.788</v>
      </c>
      <c r="AD4" s="119"/>
      <c r="AE4" s="179">
        <v>6.1411999999999997E-6</v>
      </c>
      <c r="AF4" s="133">
        <v>2.6562999999999998E-7</v>
      </c>
      <c r="AG4" s="118">
        <f>((AC4-1.72)/1.72)*100</f>
        <v>3.9534883720930267</v>
      </c>
      <c r="AH4" s="117"/>
      <c r="AI4" s="117"/>
      <c r="AJ4" s="170"/>
      <c r="AK4" s="119"/>
      <c r="AL4" s="179"/>
      <c r="AM4" s="133"/>
      <c r="AN4" s="118"/>
      <c r="AO4" s="117"/>
      <c r="AP4" s="172">
        <v>4.7214000000000002E-4</v>
      </c>
      <c r="AQ4" s="177">
        <v>7.5000000000000002E-6</v>
      </c>
      <c r="AR4" s="133">
        <v>2.3638999999999999E-7</v>
      </c>
      <c r="AS4" s="123"/>
    </row>
    <row r="5" spans="1:45" ht="26.25" x14ac:dyDescent="0.3">
      <c r="A5" s="117">
        <v>2.5</v>
      </c>
      <c r="B5" s="117">
        <v>4.4999999999999998E-2</v>
      </c>
      <c r="C5" s="119">
        <v>2.8982999999999998E-4</v>
      </c>
      <c r="D5" s="119">
        <v>4.0153999999999997E-6</v>
      </c>
      <c r="E5" s="133">
        <v>1.9495000000000001E-7</v>
      </c>
      <c r="F5" s="118"/>
      <c r="G5" s="174">
        <v>2.5</v>
      </c>
      <c r="H5" s="274"/>
      <c r="I5" s="274"/>
      <c r="J5" s="163"/>
      <c r="K5" s="274"/>
      <c r="L5" s="275">
        <v>2.438E-7</v>
      </c>
      <c r="M5" s="118"/>
      <c r="N5" s="117">
        <v>2.5</v>
      </c>
      <c r="O5" s="117"/>
      <c r="P5" s="120">
        <v>5.3927999999999995E-4</v>
      </c>
      <c r="Q5" s="119">
        <v>5.011E-6</v>
      </c>
      <c r="R5" s="135">
        <v>2.3270000000000001E-7</v>
      </c>
      <c r="S5" s="154"/>
      <c r="T5" s="267">
        <v>3</v>
      </c>
      <c r="U5" s="267">
        <v>2.5000000000000001E-2</v>
      </c>
      <c r="V5" s="164">
        <v>5.1084999999999998E-4</v>
      </c>
      <c r="W5" s="171">
        <v>8.4104E-6</v>
      </c>
      <c r="X5" s="268">
        <v>4.1178E-7</v>
      </c>
      <c r="Y5" s="154"/>
      <c r="Z5" s="154"/>
      <c r="AA5" s="117">
        <v>2.5</v>
      </c>
      <c r="AB5" s="117">
        <v>3.2500000000000001E-2</v>
      </c>
      <c r="AC5" s="170">
        <v>1.77</v>
      </c>
      <c r="AD5" s="177">
        <v>4.8042000000000001E-4</v>
      </c>
      <c r="AE5" s="180">
        <v>7.6598999999999993E-6</v>
      </c>
      <c r="AF5" s="153">
        <v>3.9169999999999999E-7</v>
      </c>
      <c r="AG5" s="118">
        <f t="shared" ref="AG5:AG8" si="0">((AC5-1.72)/1.72)*100</f>
        <v>2.9069767441860495</v>
      </c>
      <c r="AH5" s="117">
        <v>2</v>
      </c>
      <c r="AI5" s="117">
        <v>4.3999999999999997E-2</v>
      </c>
      <c r="AJ5" s="170"/>
      <c r="AK5" s="165" t="s">
        <v>77</v>
      </c>
      <c r="AL5" s="164">
        <v>7.2784999999999999E-6</v>
      </c>
      <c r="AM5" s="164">
        <v>3.6774999999999999E-7</v>
      </c>
      <c r="AN5" s="118"/>
      <c r="AO5" s="117"/>
      <c r="AP5" s="117"/>
      <c r="AQ5" s="120">
        <v>1.0708E-5</v>
      </c>
      <c r="AR5" s="133">
        <v>1.4397000000000001E-7</v>
      </c>
      <c r="AS5" s="123"/>
    </row>
    <row r="6" spans="1:45" ht="23.25" x14ac:dyDescent="0.3">
      <c r="A6" s="117">
        <v>3</v>
      </c>
      <c r="B6" s="117">
        <v>3.5000000000000003E-2</v>
      </c>
      <c r="C6" s="119">
        <v>3.5230999999999999E-4</v>
      </c>
      <c r="D6" s="119">
        <v>5.4709999999999998E-6</v>
      </c>
      <c r="E6" s="133">
        <v>2.7933E-7</v>
      </c>
      <c r="F6" s="118"/>
      <c r="G6" s="174">
        <v>3</v>
      </c>
      <c r="H6" s="274"/>
      <c r="I6" s="274"/>
      <c r="J6" s="163"/>
      <c r="K6" s="274"/>
      <c r="L6" s="239">
        <v>2.9787000000000001E-7</v>
      </c>
      <c r="M6" s="118"/>
      <c r="N6" s="117">
        <v>3</v>
      </c>
      <c r="O6" s="117"/>
      <c r="P6" s="120">
        <v>4.3636E-4</v>
      </c>
      <c r="Q6" s="119">
        <v>7.0944999999999996E-6</v>
      </c>
      <c r="R6" s="135">
        <v>3.3674999999999999E-7</v>
      </c>
      <c r="S6" s="154"/>
      <c r="T6" s="154"/>
      <c r="U6" s="154"/>
      <c r="V6" s="154"/>
      <c r="X6" s="154"/>
      <c r="Y6" s="154"/>
      <c r="Z6" s="154"/>
      <c r="AA6" s="117">
        <v>3</v>
      </c>
      <c r="AB6" s="117">
        <v>1.7500000000000002E-2</v>
      </c>
      <c r="AC6" s="170">
        <v>1.7729999999999999</v>
      </c>
      <c r="AD6" s="119"/>
      <c r="AE6" s="120">
        <v>8.8892999999999997E-6</v>
      </c>
      <c r="AF6" s="133">
        <v>3.5170000000000001E-7</v>
      </c>
      <c r="AG6" s="118">
        <f t="shared" si="0"/>
        <v>3.0813953488372055</v>
      </c>
      <c r="AH6" s="117"/>
      <c r="AI6" s="117"/>
      <c r="AJ6" s="170"/>
      <c r="AK6" s="119"/>
      <c r="AL6" s="120"/>
      <c r="AM6" s="133"/>
      <c r="AN6" s="118"/>
      <c r="AO6" s="121"/>
      <c r="AP6" s="121"/>
      <c r="AQ6" s="122"/>
      <c r="AR6" s="135"/>
      <c r="AS6" s="123"/>
    </row>
    <row r="7" spans="1:45" ht="23.25" x14ac:dyDescent="0.35">
      <c r="A7" s="117">
        <v>3.5</v>
      </c>
      <c r="B7" s="117">
        <v>2.75E-2</v>
      </c>
      <c r="C7" s="119">
        <v>4.2813999999999998E-4</v>
      </c>
      <c r="D7" s="119">
        <v>7.2432000000000004E-6</v>
      </c>
      <c r="E7" s="133">
        <v>3.7088E-7</v>
      </c>
      <c r="F7" s="118"/>
      <c r="G7" s="230">
        <v>3.25</v>
      </c>
      <c r="H7" s="276"/>
      <c r="I7" s="276"/>
      <c r="J7" s="163"/>
      <c r="K7" s="276"/>
      <c r="L7" s="239">
        <v>3.7434E-7</v>
      </c>
      <c r="M7" s="118"/>
      <c r="N7" s="117">
        <v>3.5</v>
      </c>
      <c r="O7" s="117"/>
      <c r="P7" s="120">
        <v>5.2899999999999996E-4</v>
      </c>
      <c r="Q7" s="119">
        <v>9.1606E-6</v>
      </c>
      <c r="R7" s="135">
        <v>3.7696000000000001E-7</v>
      </c>
      <c r="S7" s="154"/>
      <c r="T7" s="154"/>
      <c r="U7" s="154"/>
      <c r="V7" s="154"/>
      <c r="W7" s="154"/>
      <c r="X7" s="154"/>
      <c r="Y7" s="154"/>
      <c r="Z7" s="154"/>
      <c r="AA7" s="117">
        <v>3.5</v>
      </c>
      <c r="AB7" s="117">
        <v>4.4999999999999997E-3</v>
      </c>
      <c r="AC7" s="170"/>
      <c r="AD7" s="119"/>
      <c r="AE7" s="120">
        <v>1.0125E-5</v>
      </c>
      <c r="AF7" s="133">
        <v>2.2559E-7</v>
      </c>
      <c r="AG7" s="118">
        <f t="shared" si="0"/>
        <v>-100</v>
      </c>
      <c r="AH7" s="117"/>
      <c r="AI7" s="117"/>
      <c r="AJ7" s="170"/>
      <c r="AK7" s="119"/>
      <c r="AL7" s="120"/>
      <c r="AM7" s="133"/>
      <c r="AN7" s="118"/>
      <c r="AO7" s="121"/>
      <c r="AP7" s="121"/>
      <c r="AQ7" s="121"/>
      <c r="AR7" s="121"/>
      <c r="AS7" s="123"/>
    </row>
    <row r="8" spans="1:45" ht="23.25" x14ac:dyDescent="0.3">
      <c r="A8" s="117">
        <v>4</v>
      </c>
      <c r="B8" s="117">
        <v>0.02</v>
      </c>
      <c r="C8" s="119">
        <v>4.9967000000000002E-4</v>
      </c>
      <c r="D8" s="177">
        <v>9.0660999999999995E-6</v>
      </c>
      <c r="E8" s="153">
        <v>4.2206000000000001E-7</v>
      </c>
      <c r="F8" s="118"/>
      <c r="G8" s="174">
        <v>3.5</v>
      </c>
      <c r="H8" s="274"/>
      <c r="I8" s="274"/>
      <c r="J8" s="164">
        <v>5.0717999999999998E-4</v>
      </c>
      <c r="K8" s="277">
        <v>8.7594999999999997E-6</v>
      </c>
      <c r="L8" s="240">
        <v>4.4000000000000002E-7</v>
      </c>
      <c r="M8" s="118"/>
      <c r="N8" s="127">
        <v>3.75</v>
      </c>
      <c r="P8" s="172">
        <v>5.9624000000000005E-4</v>
      </c>
      <c r="Q8" s="177">
        <v>1.0812000000000001E-5</v>
      </c>
      <c r="R8" s="159">
        <v>4.4359999999999998E-7</v>
      </c>
      <c r="S8" s="154"/>
      <c r="T8" s="154"/>
      <c r="U8" s="154"/>
      <c r="V8" s="154"/>
      <c r="W8" s="154"/>
      <c r="X8" s="154"/>
      <c r="Y8" s="154"/>
      <c r="Z8" s="154"/>
      <c r="AA8" s="117">
        <v>4</v>
      </c>
      <c r="AB8" s="117"/>
      <c r="AC8" s="170"/>
      <c r="AD8" s="177"/>
      <c r="AE8" s="181"/>
      <c r="AF8" s="117"/>
      <c r="AG8" s="118">
        <f t="shared" si="0"/>
        <v>-100</v>
      </c>
      <c r="AH8" s="117"/>
      <c r="AI8" s="117"/>
      <c r="AJ8" s="170"/>
      <c r="AK8" s="177"/>
      <c r="AL8" s="181"/>
      <c r="AM8" s="117"/>
      <c r="AN8" s="118"/>
      <c r="AS8" s="123"/>
    </row>
    <row r="9" spans="1:45" ht="23.25" x14ac:dyDescent="0.35">
      <c r="A9" s="117">
        <v>4.5</v>
      </c>
      <c r="B9" s="117">
        <v>1.4999999999999999E-2</v>
      </c>
      <c r="C9" s="119">
        <v>5.9960000000000005E-4</v>
      </c>
      <c r="D9" s="119">
        <v>1.1616E-5</v>
      </c>
      <c r="E9" s="133">
        <v>4.0840999999999999E-7</v>
      </c>
      <c r="F9" s="4"/>
      <c r="G9" s="230">
        <v>3.75</v>
      </c>
      <c r="H9" s="276"/>
      <c r="I9" s="276"/>
      <c r="J9" s="163"/>
      <c r="K9" s="276"/>
      <c r="L9" s="239">
        <v>3.5945000000000001E-7</v>
      </c>
      <c r="M9" s="141"/>
      <c r="N9" s="117">
        <v>4</v>
      </c>
      <c r="O9" s="117"/>
      <c r="P9" s="170"/>
      <c r="Q9" s="119">
        <v>1.2377E-5</v>
      </c>
      <c r="R9" s="158">
        <v>4.2987000000000002E-7</v>
      </c>
      <c r="AD9" s="117"/>
    </row>
    <row r="10" spans="1:45" ht="23.25" x14ac:dyDescent="0.3">
      <c r="G10" s="174">
        <v>4</v>
      </c>
      <c r="H10" s="274"/>
      <c r="I10" s="274"/>
      <c r="J10" s="274"/>
      <c r="K10" s="274"/>
      <c r="L10" s="239">
        <v>3.2029999999999998E-7</v>
      </c>
      <c r="N10" s="117">
        <v>4.5</v>
      </c>
      <c r="P10" s="120">
        <v>6.6737000000000003E-4</v>
      </c>
      <c r="Q10" s="119">
        <v>1.2388000000000001E-5</v>
      </c>
      <c r="R10" s="135">
        <v>1.5923E-8</v>
      </c>
      <c r="AD10" s="119"/>
    </row>
    <row r="11" spans="1:45" ht="23.25" x14ac:dyDescent="0.35">
      <c r="G11" s="174">
        <v>4.5</v>
      </c>
      <c r="H11" s="276"/>
      <c r="I11" s="276"/>
      <c r="J11" s="276"/>
      <c r="K11" s="276"/>
      <c r="L11" s="239">
        <v>3.1859E-7</v>
      </c>
      <c r="N11" s="117">
        <v>5</v>
      </c>
      <c r="P11" s="120">
        <v>8.8278E-4</v>
      </c>
      <c r="Q11" s="169"/>
      <c r="R11" s="135">
        <v>-8.6240999999999998E-8</v>
      </c>
      <c r="AD11" s="119"/>
    </row>
    <row r="12" spans="1:45" ht="20.25" x14ac:dyDescent="0.25">
      <c r="N12" s="117">
        <v>5.5</v>
      </c>
    </row>
  </sheetData>
  <mergeCells count="8">
    <mergeCell ref="AA2:AG2"/>
    <mergeCell ref="A1:AG1"/>
    <mergeCell ref="AN2:AS2"/>
    <mergeCell ref="G2:M2"/>
    <mergeCell ref="A2:F2"/>
    <mergeCell ref="N2:S2"/>
    <mergeCell ref="AH2:AM2"/>
    <mergeCell ref="T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34"/>
  <sheetViews>
    <sheetView topLeftCell="AZ1" zoomScaleNormal="100" workbookViewId="0">
      <selection activeCell="BM3" sqref="BM3:BN18"/>
    </sheetView>
  </sheetViews>
  <sheetFormatPr defaultRowHeight="15" x14ac:dyDescent="0.25"/>
  <cols>
    <col min="1" max="1" width="16.28515625" customWidth="1"/>
    <col min="2" max="4" width="16.5703125" customWidth="1"/>
    <col min="5" max="5" width="18.28515625" customWidth="1"/>
    <col min="6" max="6" width="15.85546875" customWidth="1"/>
    <col min="7" max="7" width="21.42578125" customWidth="1"/>
    <col min="8" max="10" width="18.140625" customWidth="1"/>
    <col min="11" max="11" width="22.28515625" customWidth="1"/>
    <col min="12" max="36" width="20.140625" customWidth="1"/>
    <col min="37" max="37" width="20.7109375" customWidth="1"/>
    <col min="38" max="40" width="21.42578125" customWidth="1"/>
    <col min="41" max="41" width="18.140625" customWidth="1"/>
    <col min="42" max="42" width="20.85546875" customWidth="1"/>
    <col min="43" max="43" width="18.7109375" customWidth="1"/>
    <col min="44" max="46" width="21.5703125" customWidth="1"/>
    <col min="47" max="47" width="22.140625" customWidth="1"/>
    <col min="48" max="52" width="20.85546875" customWidth="1"/>
    <col min="53" max="53" width="26.5703125" customWidth="1"/>
    <col min="54" max="54" width="20.85546875" customWidth="1"/>
    <col min="55" max="55" width="0.42578125" customWidth="1"/>
    <col min="56" max="62" width="20.85546875" customWidth="1"/>
    <col min="63" max="63" width="21.42578125" customWidth="1"/>
    <col min="64" max="64" width="21.85546875" customWidth="1"/>
    <col min="65" max="66" width="24.140625" customWidth="1"/>
    <col min="67" max="67" width="20.5703125" customWidth="1"/>
    <col min="68" max="68" width="21.140625" customWidth="1"/>
    <col min="69" max="69" width="22" customWidth="1"/>
    <col min="70" max="72" width="19.5703125" customWidth="1"/>
    <col min="73" max="73" width="23.42578125" customWidth="1"/>
    <col min="74" max="74" width="23.7109375" customWidth="1"/>
    <col min="75" max="75" width="23" customWidth="1"/>
    <col min="76" max="76" width="28.140625" customWidth="1"/>
    <col min="77" max="77" width="22.140625" customWidth="1"/>
    <col min="78" max="78" width="21.7109375" customWidth="1"/>
    <col min="79" max="79" width="23.85546875" customWidth="1"/>
    <col min="80" max="80" width="26" customWidth="1"/>
    <col min="81" max="81" width="20.42578125" customWidth="1"/>
    <col min="82" max="82" width="24.5703125" customWidth="1"/>
    <col min="83" max="83" width="20.42578125" customWidth="1"/>
    <col min="84" max="84" width="31.5703125" customWidth="1"/>
  </cols>
  <sheetData>
    <row r="1" spans="1:76" ht="27" thickBot="1" x14ac:dyDescent="0.45">
      <c r="A1" s="295" t="s">
        <v>12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5"/>
      <c r="AR1" s="295"/>
      <c r="AS1" s="295"/>
      <c r="AT1" s="295"/>
      <c r="AU1" s="295"/>
      <c r="AV1" s="295"/>
      <c r="AW1" s="161"/>
      <c r="AX1" s="161"/>
      <c r="AY1" s="161"/>
      <c r="AZ1" s="161"/>
      <c r="BA1" s="161"/>
      <c r="BB1" s="161"/>
    </row>
    <row r="2" spans="1:76" ht="23.25" x14ac:dyDescent="0.25">
      <c r="A2" s="319" t="s">
        <v>9</v>
      </c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125"/>
      <c r="Q2" s="125"/>
      <c r="R2" s="125"/>
      <c r="S2" s="333" t="s">
        <v>39</v>
      </c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5"/>
      <c r="AK2" s="315" t="s">
        <v>18</v>
      </c>
      <c r="AL2" s="316"/>
      <c r="AM2" s="316"/>
      <c r="AN2" s="316"/>
      <c r="AO2" s="317"/>
      <c r="AP2" s="317"/>
      <c r="AQ2" s="317"/>
      <c r="AR2" s="317"/>
      <c r="AS2" s="317"/>
      <c r="AT2" s="317"/>
      <c r="AU2" s="317"/>
      <c r="AV2" s="318"/>
      <c r="AW2" s="264"/>
      <c r="AX2" s="264"/>
      <c r="AY2" s="264"/>
      <c r="AZ2" s="265"/>
      <c r="BA2" s="125"/>
      <c r="BB2" s="125"/>
      <c r="BC2" s="336" t="s">
        <v>25</v>
      </c>
      <c r="BD2" s="337"/>
      <c r="BE2" s="337"/>
      <c r="BF2" s="337"/>
      <c r="BG2" s="337"/>
      <c r="BH2" s="337"/>
      <c r="BI2" s="337"/>
      <c r="BJ2" s="337"/>
      <c r="BK2" s="337"/>
      <c r="BL2" s="337"/>
      <c r="BM2" s="337"/>
      <c r="BN2" s="337"/>
      <c r="BO2" s="337"/>
      <c r="BP2" s="337"/>
      <c r="BQ2" s="331" t="s">
        <v>30</v>
      </c>
      <c r="BR2" s="332"/>
      <c r="BS2" s="332"/>
      <c r="BT2" s="332"/>
      <c r="BU2" s="332"/>
      <c r="BV2" s="332"/>
      <c r="BW2" s="332"/>
      <c r="BX2" s="332"/>
    </row>
    <row r="3" spans="1:76" ht="21" x14ac:dyDescent="0.25">
      <c r="A3" s="310" t="s">
        <v>8</v>
      </c>
      <c r="B3" s="309"/>
      <c r="C3" s="313" t="s">
        <v>17</v>
      </c>
      <c r="D3" s="313"/>
      <c r="E3" s="311" t="s">
        <v>7</v>
      </c>
      <c r="F3" s="312"/>
      <c r="G3" s="313" t="s">
        <v>10</v>
      </c>
      <c r="H3" s="313"/>
      <c r="I3" s="313" t="s">
        <v>52</v>
      </c>
      <c r="J3" s="313"/>
      <c r="K3" s="309" t="s">
        <v>11</v>
      </c>
      <c r="L3" s="314"/>
      <c r="M3" s="309" t="s">
        <v>32</v>
      </c>
      <c r="N3" s="309"/>
      <c r="O3" s="309" t="s">
        <v>34</v>
      </c>
      <c r="P3" s="314"/>
      <c r="Q3" s="310" t="s">
        <v>26</v>
      </c>
      <c r="R3" s="309"/>
      <c r="S3" s="313" t="s">
        <v>42</v>
      </c>
      <c r="T3" s="313"/>
      <c r="U3" s="311" t="s">
        <v>41</v>
      </c>
      <c r="V3" s="312"/>
      <c r="W3" s="317" t="s">
        <v>48</v>
      </c>
      <c r="X3" s="317"/>
      <c r="Y3" s="313" t="s">
        <v>40</v>
      </c>
      <c r="Z3" s="313"/>
      <c r="AA3" s="317" t="s">
        <v>47</v>
      </c>
      <c r="AB3" s="317"/>
      <c r="AC3" s="309" t="s">
        <v>44</v>
      </c>
      <c r="AD3" s="323"/>
      <c r="AE3" s="313" t="s">
        <v>43</v>
      </c>
      <c r="AF3" s="322"/>
      <c r="AG3" s="309" t="s">
        <v>46</v>
      </c>
      <c r="AH3" s="323"/>
      <c r="AI3" s="306" t="s">
        <v>19</v>
      </c>
      <c r="AJ3" s="313"/>
      <c r="AK3" s="305" t="s">
        <v>23</v>
      </c>
      <c r="AL3" s="306"/>
      <c r="AM3" s="311" t="s">
        <v>24</v>
      </c>
      <c r="AN3" s="312"/>
      <c r="AO3" s="313" t="s">
        <v>29</v>
      </c>
      <c r="AP3" s="313"/>
      <c r="AQ3" s="313" t="s">
        <v>53</v>
      </c>
      <c r="AR3" s="313"/>
      <c r="AS3" s="313" t="s">
        <v>73</v>
      </c>
      <c r="AT3" s="313"/>
      <c r="AU3" s="330" t="s">
        <v>75</v>
      </c>
      <c r="AV3" s="305"/>
      <c r="AW3" s="321" t="s">
        <v>26</v>
      </c>
      <c r="AX3" s="313"/>
      <c r="AY3" s="305" t="s">
        <v>27</v>
      </c>
      <c r="AZ3" s="306"/>
      <c r="BA3" s="311" t="s">
        <v>20</v>
      </c>
      <c r="BB3" s="312"/>
      <c r="BC3" s="313" t="s">
        <v>21</v>
      </c>
      <c r="BD3" s="313"/>
      <c r="BE3" s="328" t="s">
        <v>51</v>
      </c>
      <c r="BF3" s="329"/>
      <c r="BG3" s="325" t="s">
        <v>45</v>
      </c>
      <c r="BH3" s="326"/>
      <c r="BI3" s="313" t="s">
        <v>33</v>
      </c>
      <c r="BJ3" s="313"/>
      <c r="BK3" s="309" t="s">
        <v>22</v>
      </c>
      <c r="BL3" s="309"/>
      <c r="BM3" s="309" t="s">
        <v>35</v>
      </c>
      <c r="BN3" s="309"/>
      <c r="BO3" s="309" t="s">
        <v>36</v>
      </c>
      <c r="BP3" s="309"/>
    </row>
    <row r="4" spans="1:76" ht="19.5" thickBot="1" x14ac:dyDescent="0.3">
      <c r="A4" s="39" t="s">
        <v>6</v>
      </c>
      <c r="B4" s="40" t="s">
        <v>5</v>
      </c>
      <c r="C4" s="28" t="s">
        <v>6</v>
      </c>
      <c r="D4" s="41" t="s">
        <v>5</v>
      </c>
      <c r="E4" s="42" t="s">
        <v>6</v>
      </c>
      <c r="F4" s="42" t="s">
        <v>5</v>
      </c>
      <c r="G4" s="27" t="s">
        <v>6</v>
      </c>
      <c r="H4" s="28" t="s">
        <v>5</v>
      </c>
      <c r="I4" s="27" t="s">
        <v>6</v>
      </c>
      <c r="J4" s="28" t="s">
        <v>5</v>
      </c>
      <c r="K4" s="42" t="s">
        <v>6</v>
      </c>
      <c r="L4" s="40" t="s">
        <v>5</v>
      </c>
      <c r="M4" s="42" t="s">
        <v>6</v>
      </c>
      <c r="N4" s="5" t="s">
        <v>5</v>
      </c>
      <c r="O4" s="42" t="s">
        <v>6</v>
      </c>
      <c r="P4" s="11" t="s">
        <v>5</v>
      </c>
      <c r="Q4" s="39" t="s">
        <v>6</v>
      </c>
      <c r="R4" s="40" t="s">
        <v>5</v>
      </c>
      <c r="S4" s="28" t="s">
        <v>6</v>
      </c>
      <c r="T4" s="41" t="s">
        <v>5</v>
      </c>
      <c r="U4" s="42" t="s">
        <v>6</v>
      </c>
      <c r="V4" s="42" t="s">
        <v>5</v>
      </c>
      <c r="W4" s="155" t="s">
        <v>6</v>
      </c>
      <c r="X4" s="26" t="s">
        <v>5</v>
      </c>
      <c r="Y4" s="27" t="s">
        <v>6</v>
      </c>
      <c r="Z4" s="28" t="s">
        <v>5</v>
      </c>
      <c r="AA4" s="155" t="s">
        <v>6</v>
      </c>
      <c r="AB4" s="26" t="s">
        <v>5</v>
      </c>
      <c r="AC4" s="42" t="s">
        <v>6</v>
      </c>
      <c r="AD4" s="43" t="s">
        <v>5</v>
      </c>
      <c r="AE4" s="28" t="s">
        <v>6</v>
      </c>
      <c r="AF4" s="149" t="s">
        <v>5</v>
      </c>
      <c r="AG4" s="42" t="s">
        <v>6</v>
      </c>
      <c r="AH4" s="43" t="s">
        <v>5</v>
      </c>
      <c r="AI4" s="8" t="s">
        <v>6</v>
      </c>
      <c r="AJ4" s="9" t="s">
        <v>5</v>
      </c>
      <c r="AK4" s="36" t="s">
        <v>6</v>
      </c>
      <c r="AL4" s="9" t="s">
        <v>5</v>
      </c>
      <c r="AM4" s="5" t="s">
        <v>6</v>
      </c>
      <c r="AN4" s="5" t="s">
        <v>5</v>
      </c>
      <c r="AO4" s="8" t="s">
        <v>6</v>
      </c>
      <c r="AP4" s="9" t="s">
        <v>5</v>
      </c>
      <c r="AQ4" s="8" t="s">
        <v>6</v>
      </c>
      <c r="AR4" s="9" t="s">
        <v>5</v>
      </c>
      <c r="AS4" s="8" t="s">
        <v>6</v>
      </c>
      <c r="AT4" s="9" t="s">
        <v>5</v>
      </c>
      <c r="AU4" s="8" t="s">
        <v>6</v>
      </c>
      <c r="AV4" s="340" t="s">
        <v>5</v>
      </c>
      <c r="AW4" s="36" t="s">
        <v>6</v>
      </c>
      <c r="AX4" s="9" t="s">
        <v>5</v>
      </c>
      <c r="AY4" s="36" t="s">
        <v>6</v>
      </c>
      <c r="AZ4" s="9" t="s">
        <v>5</v>
      </c>
      <c r="BA4" s="5" t="s">
        <v>6</v>
      </c>
      <c r="BB4" s="5" t="s">
        <v>5</v>
      </c>
      <c r="BC4" s="8" t="s">
        <v>6</v>
      </c>
      <c r="BD4" s="9" t="s">
        <v>5</v>
      </c>
      <c r="BE4" s="5" t="s">
        <v>6</v>
      </c>
      <c r="BF4" s="11" t="s">
        <v>5</v>
      </c>
      <c r="BG4" s="9" t="s">
        <v>6</v>
      </c>
      <c r="BH4" s="10" t="s">
        <v>5</v>
      </c>
      <c r="BI4" s="9" t="s">
        <v>6</v>
      </c>
      <c r="BJ4" s="9" t="s">
        <v>5</v>
      </c>
      <c r="BK4" s="5" t="s">
        <v>6</v>
      </c>
      <c r="BL4" s="5" t="s">
        <v>5</v>
      </c>
      <c r="BM4" s="5" t="s">
        <v>6</v>
      </c>
      <c r="BN4" s="5" t="s">
        <v>5</v>
      </c>
      <c r="BO4" s="5" t="s">
        <v>6</v>
      </c>
      <c r="BP4" s="5" t="s">
        <v>5</v>
      </c>
    </row>
    <row r="5" spans="1:76" ht="21" x14ac:dyDescent="0.35">
      <c r="A5" s="44">
        <v>0</v>
      </c>
      <c r="B5" s="45">
        <v>0</v>
      </c>
      <c r="C5" s="45">
        <v>0</v>
      </c>
      <c r="D5" s="45">
        <v>0</v>
      </c>
      <c r="E5" s="45">
        <v>0</v>
      </c>
      <c r="F5" s="45">
        <v>0</v>
      </c>
      <c r="G5" s="53">
        <v>0</v>
      </c>
      <c r="H5" s="60">
        <v>0</v>
      </c>
      <c r="I5" s="16">
        <v>0</v>
      </c>
      <c r="J5" s="16">
        <v>0</v>
      </c>
      <c r="K5" s="16">
        <v>0</v>
      </c>
      <c r="L5" s="16">
        <v>0</v>
      </c>
      <c r="M5" s="21">
        <v>0</v>
      </c>
      <c r="N5" s="16">
        <v>0</v>
      </c>
      <c r="O5" s="21">
        <v>0</v>
      </c>
      <c r="P5" s="31">
        <v>0</v>
      </c>
      <c r="Q5" s="34">
        <v>0</v>
      </c>
      <c r="R5" s="34">
        <v>0</v>
      </c>
      <c r="S5" s="71">
        <v>0</v>
      </c>
      <c r="T5" s="57">
        <v>0</v>
      </c>
      <c r="U5" s="94">
        <v>0</v>
      </c>
      <c r="V5" s="83">
        <v>0</v>
      </c>
      <c r="W5" s="33">
        <v>0</v>
      </c>
      <c r="X5" s="33">
        <v>0</v>
      </c>
      <c r="Y5" s="94">
        <v>0</v>
      </c>
      <c r="Z5" s="83">
        <v>0</v>
      </c>
      <c r="AA5" s="121">
        <v>0</v>
      </c>
      <c r="AB5" s="121">
        <v>0</v>
      </c>
      <c r="AC5" s="71">
        <v>0</v>
      </c>
      <c r="AD5" s="34">
        <v>0</v>
      </c>
      <c r="AE5" s="94">
        <v>0</v>
      </c>
      <c r="AF5" s="62">
        <v>0</v>
      </c>
      <c r="AG5" s="128">
        <v>0</v>
      </c>
      <c r="AH5" s="7">
        <v>0</v>
      </c>
      <c r="AI5" s="21">
        <v>0</v>
      </c>
      <c r="AJ5" s="31">
        <v>0</v>
      </c>
      <c r="AK5" s="53">
        <v>0</v>
      </c>
      <c r="AL5" s="53">
        <v>0</v>
      </c>
      <c r="AM5" s="50">
        <v>0</v>
      </c>
      <c r="AN5" s="60">
        <v>0</v>
      </c>
      <c r="AO5" s="34">
        <v>0</v>
      </c>
      <c r="AP5" s="83">
        <v>0</v>
      </c>
      <c r="AQ5" s="58">
        <v>0</v>
      </c>
      <c r="AR5" s="7">
        <v>0</v>
      </c>
      <c r="AS5" s="58">
        <v>0</v>
      </c>
      <c r="AT5" s="7">
        <v>0</v>
      </c>
      <c r="AU5" s="238">
        <v>0</v>
      </c>
      <c r="AV5" s="238">
        <v>0</v>
      </c>
      <c r="AW5" s="73">
        <v>0</v>
      </c>
      <c r="AX5" s="74">
        <v>0</v>
      </c>
      <c r="AY5" s="74">
        <v>0</v>
      </c>
      <c r="AZ5" s="78">
        <v>0</v>
      </c>
      <c r="BA5" s="74">
        <v>0</v>
      </c>
      <c r="BB5" s="74">
        <v>0</v>
      </c>
      <c r="BC5" s="73">
        <v>0</v>
      </c>
      <c r="BD5" s="78">
        <v>0</v>
      </c>
      <c r="BE5" s="7">
        <v>0</v>
      </c>
      <c r="BF5" s="58">
        <v>0</v>
      </c>
      <c r="BG5" s="94">
        <v>0</v>
      </c>
      <c r="BH5" s="83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110">
        <v>0</v>
      </c>
      <c r="BO5" s="58">
        <v>0</v>
      </c>
      <c r="BP5" s="58">
        <v>0</v>
      </c>
    </row>
    <row r="6" spans="1:76" ht="21" x14ac:dyDescent="0.35">
      <c r="A6" s="30">
        <v>2.5000000000000001E-2</v>
      </c>
      <c r="B6" s="16">
        <v>1.6329099999999999E-2</v>
      </c>
      <c r="C6" s="16">
        <v>3.5000000000000001E-3</v>
      </c>
      <c r="D6" s="16">
        <v>3.3404799999999998E-3</v>
      </c>
      <c r="E6" s="16">
        <v>6.0000000000000001E-3</v>
      </c>
      <c r="F6" s="16">
        <v>6.9004799999999996E-3</v>
      </c>
      <c r="G6" s="53">
        <v>6.0000000000000001E-3</v>
      </c>
      <c r="H6" s="60">
        <v>8.3129099999999997E-3</v>
      </c>
      <c r="I6" s="17">
        <v>6.0000000000000001E-3</v>
      </c>
      <c r="J6" s="17">
        <v>8.6020899999999997E-3</v>
      </c>
      <c r="K6" s="16">
        <v>3.5000000000000001E-3</v>
      </c>
      <c r="L6" s="17">
        <v>5.6108E-3</v>
      </c>
      <c r="M6" s="37">
        <v>7.4999999999999997E-3</v>
      </c>
      <c r="N6" s="17">
        <v>1.42764E-2</v>
      </c>
      <c r="O6" s="21">
        <v>8.7500000000000008E-3</v>
      </c>
      <c r="P6" s="31">
        <v>2.0548299999999999E-2</v>
      </c>
      <c r="Q6" s="34">
        <v>2.1875000000000002E-3</v>
      </c>
      <c r="R6" s="34">
        <v>1.82789E-3</v>
      </c>
      <c r="S6" s="71">
        <v>7.4999899999999998E-3</v>
      </c>
      <c r="T6" s="57">
        <v>6.87501E-3</v>
      </c>
      <c r="U6" s="94">
        <v>8.7500000000000008E-3</v>
      </c>
      <c r="V6" s="83">
        <v>8.7694799999999996E-3</v>
      </c>
      <c r="W6" s="157">
        <v>7.4999899999999998E-3</v>
      </c>
      <c r="X6" s="157">
        <v>9.0889500000000002E-3</v>
      </c>
      <c r="Y6" s="94">
        <v>7.4999899999999998E-3</v>
      </c>
      <c r="Z6" s="83">
        <v>1.00339E-2</v>
      </c>
      <c r="AA6" s="136">
        <v>7.4999899999999998E-3</v>
      </c>
      <c r="AB6" s="136">
        <v>1.0407100000000001E-2</v>
      </c>
      <c r="AC6" s="71">
        <v>7.4999899999999998E-3</v>
      </c>
      <c r="AD6" s="34">
        <v>1.1145199999999999E-2</v>
      </c>
      <c r="AE6" s="94">
        <v>8.7500000000000008E-3</v>
      </c>
      <c r="AF6" s="62">
        <v>1.53159E-2</v>
      </c>
      <c r="AG6" s="128">
        <v>8.7500000000000008E-3</v>
      </c>
      <c r="AH6" s="7">
        <v>1.7613199999999999E-2</v>
      </c>
      <c r="AI6" s="21">
        <v>3.5000000000000001E-3</v>
      </c>
      <c r="AJ6" s="31">
        <v>2.7248900000000002E-3</v>
      </c>
      <c r="AK6" s="54">
        <v>3.0000000000000001E-3</v>
      </c>
      <c r="AL6" s="54">
        <v>2.71762E-3</v>
      </c>
      <c r="AM6" s="50">
        <v>3.5000000000000001E-3</v>
      </c>
      <c r="AN6" s="60">
        <v>3.5175200000000001E-3</v>
      </c>
      <c r="AO6" s="34">
        <v>3.5000000000000001E-3</v>
      </c>
      <c r="AP6" s="83">
        <v>3.9135699999999999E-3</v>
      </c>
      <c r="AQ6" s="58">
        <v>6.0000000000000001E-3</v>
      </c>
      <c r="AR6" s="7">
        <v>7.5436399999999999E-3</v>
      </c>
      <c r="AS6" s="58">
        <v>6.0000000000000001E-3</v>
      </c>
      <c r="AT6" s="7">
        <v>4.4044100000000001E-3</v>
      </c>
      <c r="AU6" s="238">
        <v>6.0000000000000001E-3</v>
      </c>
      <c r="AV6" s="238">
        <v>6.51484E-3</v>
      </c>
      <c r="AW6" s="73">
        <v>7.4999899999999998E-3</v>
      </c>
      <c r="AX6" s="80">
        <v>5.86244E-3</v>
      </c>
      <c r="AY6" s="80">
        <v>2.5000000000000001E-3</v>
      </c>
      <c r="AZ6" s="79">
        <v>3.2466000000000001E-3</v>
      </c>
      <c r="BA6" s="74">
        <v>7.4999899999999998E-3</v>
      </c>
      <c r="BB6" s="74">
        <v>7.8161399999999992E-3</v>
      </c>
      <c r="BC6" s="73">
        <v>7.4999899999999998E-3</v>
      </c>
      <c r="BD6" s="78">
        <v>9.3875599999999997E-3</v>
      </c>
      <c r="BE6" s="7">
        <v>6.0000000000000001E-3</v>
      </c>
      <c r="BF6" s="58">
        <v>8.4252000000000007E-3</v>
      </c>
      <c r="BG6" s="94">
        <v>7.4999899999999998E-3</v>
      </c>
      <c r="BH6" s="83">
        <v>1.1623100000000001E-2</v>
      </c>
      <c r="BI6" s="7">
        <v>8.7500000000000008E-3</v>
      </c>
      <c r="BJ6" s="7">
        <v>1.7768800000000001E-2</v>
      </c>
      <c r="BK6" s="7">
        <v>7.4999999999999997E-3</v>
      </c>
      <c r="BL6" s="7">
        <v>4.8035600000000001E-3</v>
      </c>
      <c r="BM6" s="7">
        <v>7.4999999999999997E-3</v>
      </c>
      <c r="BN6" s="110">
        <v>4.8072499999999999E-3</v>
      </c>
      <c r="BO6" s="58">
        <v>7.4999999999999997E-3</v>
      </c>
      <c r="BP6" s="58">
        <v>6.1542899999999998E-3</v>
      </c>
    </row>
    <row r="7" spans="1:76" ht="21" x14ac:dyDescent="0.35">
      <c r="A7" s="30">
        <v>4.3749999999999997E-2</v>
      </c>
      <c r="B7" s="104">
        <v>2.18333E-2</v>
      </c>
      <c r="C7" s="16">
        <v>5.7499999999999999E-3</v>
      </c>
      <c r="D7" s="16">
        <v>5.0815900000000004E-3</v>
      </c>
      <c r="E7" s="16">
        <v>8.9999999999999993E-3</v>
      </c>
      <c r="F7" s="16">
        <v>9.6390999999999994E-3</v>
      </c>
      <c r="G7" s="53">
        <v>8.9999999999999993E-3</v>
      </c>
      <c r="H7" s="60">
        <v>1.17076E-2</v>
      </c>
      <c r="I7" s="16">
        <v>8.9999999999999993E-3</v>
      </c>
      <c r="J7" s="16">
        <v>1.2170500000000001E-2</v>
      </c>
      <c r="K7" s="16">
        <v>5.7499999999999999E-3</v>
      </c>
      <c r="L7" s="16">
        <v>8.8072900000000006E-3</v>
      </c>
      <c r="M7" s="21">
        <v>1.125E-2</v>
      </c>
      <c r="N7" s="16">
        <v>2.0266900000000001E-2</v>
      </c>
      <c r="O7" s="21">
        <v>1.4375000000000001E-2</v>
      </c>
      <c r="P7" s="31">
        <v>3.3064000000000003E-2</v>
      </c>
      <c r="Q7" s="34">
        <v>3.5937500000000002E-3</v>
      </c>
      <c r="R7" s="34">
        <v>2.7020400000000002E-3</v>
      </c>
      <c r="S7" s="71">
        <v>1.125E-2</v>
      </c>
      <c r="T7" s="57">
        <v>9.6979900000000001E-3</v>
      </c>
      <c r="U7" s="94">
        <v>1.4375000000000001E-2</v>
      </c>
      <c r="V7" s="83">
        <v>1.38269E-2</v>
      </c>
      <c r="W7" s="134">
        <v>1.125E-2</v>
      </c>
      <c r="X7" s="134">
        <v>1.29987E-2</v>
      </c>
      <c r="Y7" s="94">
        <v>1.125E-2</v>
      </c>
      <c r="Z7" s="83">
        <v>1.4406E-2</v>
      </c>
      <c r="AA7" s="122">
        <v>1.125E-2</v>
      </c>
      <c r="AB7" s="122">
        <v>1.49683E-2</v>
      </c>
      <c r="AC7" s="71">
        <v>1.125E-2</v>
      </c>
      <c r="AD7" s="34">
        <v>1.61204E-2</v>
      </c>
      <c r="AE7" s="94">
        <v>1.4375000000000001E-2</v>
      </c>
      <c r="AF7" s="62">
        <v>2.4496E-2</v>
      </c>
      <c r="AG7" s="128">
        <v>1.4375000000000001E-2</v>
      </c>
      <c r="AH7" s="7">
        <v>2.82601E-2</v>
      </c>
      <c r="AI7" s="21">
        <v>5.7499999999999999E-3</v>
      </c>
      <c r="AJ7" s="31">
        <v>4.2355500000000003E-3</v>
      </c>
      <c r="AK7" s="54">
        <v>4.4999999999999997E-3</v>
      </c>
      <c r="AL7" s="54">
        <v>3.8945899999999999E-3</v>
      </c>
      <c r="AM7" s="50">
        <v>5.7499999999999999E-3</v>
      </c>
      <c r="AN7" s="60">
        <v>5.5435700000000003E-3</v>
      </c>
      <c r="AO7" s="34">
        <v>5.7499999999999999E-3</v>
      </c>
      <c r="AP7" s="83">
        <v>6.1757799999999996E-3</v>
      </c>
      <c r="AQ7" s="114">
        <v>8.9999999999999993E-3</v>
      </c>
      <c r="AR7" s="89">
        <v>1.0865E-2</v>
      </c>
      <c r="AS7" s="114">
        <v>8.9999999999999993E-3</v>
      </c>
      <c r="AT7" s="89">
        <v>6.3401400000000002E-3</v>
      </c>
      <c r="AU7" s="238">
        <v>8.9999999999999993E-3</v>
      </c>
      <c r="AV7" s="238">
        <v>9.2803299999999998E-3</v>
      </c>
      <c r="AW7" s="73">
        <v>1.125E-2</v>
      </c>
      <c r="AX7" s="80">
        <v>8.2474499999999999E-3</v>
      </c>
      <c r="AY7" s="80">
        <v>5.0000000000000001E-3</v>
      </c>
      <c r="AZ7" s="79">
        <v>3.9983500000000003E-3</v>
      </c>
      <c r="BA7" s="74">
        <v>1.125E-2</v>
      </c>
      <c r="BB7" s="74">
        <v>1.1176500000000001E-2</v>
      </c>
      <c r="BC7" s="73">
        <v>1.125E-2</v>
      </c>
      <c r="BD7" s="78">
        <v>1.35374E-2</v>
      </c>
      <c r="BE7" s="7">
        <v>8.9999999999999993E-3</v>
      </c>
      <c r="BF7" s="58">
        <v>1.2174000000000001E-2</v>
      </c>
      <c r="BG7" s="94">
        <v>1.125E-2</v>
      </c>
      <c r="BH7" s="83">
        <v>1.68776E-2</v>
      </c>
      <c r="BI7" s="7">
        <v>1.4375000000000001E-2</v>
      </c>
      <c r="BJ7" s="7">
        <v>2.8518000000000002E-2</v>
      </c>
      <c r="BK7" s="7">
        <v>1.125E-2</v>
      </c>
      <c r="BL7" s="7">
        <v>6.8865999999999997E-3</v>
      </c>
      <c r="BM7" s="7">
        <v>1.125E-2</v>
      </c>
      <c r="BN7" s="110">
        <v>6.8887000000000002E-3</v>
      </c>
      <c r="BO7" s="58">
        <v>1.125E-2</v>
      </c>
      <c r="BP7" s="58">
        <v>8.8677099999999991E-3</v>
      </c>
    </row>
    <row r="8" spans="1:76" ht="21" x14ac:dyDescent="0.35">
      <c r="A8" s="30">
        <v>7.1875099999999997E-2</v>
      </c>
      <c r="B8" s="16">
        <v>2.1112300000000001E-2</v>
      </c>
      <c r="C8" s="17">
        <v>9.1249999999999994E-3</v>
      </c>
      <c r="D8" s="17">
        <v>7.7925700000000004E-3</v>
      </c>
      <c r="E8" s="16">
        <v>1.35E-2</v>
      </c>
      <c r="F8" s="16">
        <v>1.384E-2</v>
      </c>
      <c r="G8" s="53">
        <v>1.35E-2</v>
      </c>
      <c r="H8" s="61">
        <v>1.6920500000000002E-2</v>
      </c>
      <c r="I8" s="16">
        <v>1.35E-2</v>
      </c>
      <c r="J8" s="16">
        <v>1.7618399999999999E-2</v>
      </c>
      <c r="K8" s="16">
        <v>9.1249999999999994E-3</v>
      </c>
      <c r="L8" s="16">
        <v>1.36895E-2</v>
      </c>
      <c r="M8" s="21">
        <v>1.6875000000000001E-2</v>
      </c>
      <c r="N8" s="16">
        <v>2.9345199999999998E-2</v>
      </c>
      <c r="O8" s="21">
        <v>2.2812499999999999E-2</v>
      </c>
      <c r="P8" s="31">
        <v>5.0664599999999997E-2</v>
      </c>
      <c r="Q8" s="34">
        <v>5.7031199999999999E-3</v>
      </c>
      <c r="R8" s="34">
        <v>4.1511500000000002E-3</v>
      </c>
      <c r="S8" s="71">
        <v>1.6875000000000001E-2</v>
      </c>
      <c r="T8" s="57">
        <v>1.37985E-2</v>
      </c>
      <c r="U8" s="94">
        <v>2.2812499999999999E-2</v>
      </c>
      <c r="V8" s="83">
        <v>2.0560200000000001E-2</v>
      </c>
      <c r="W8" s="134">
        <v>1.6875000000000001E-2</v>
      </c>
      <c r="X8" s="134">
        <v>1.87183E-2</v>
      </c>
      <c r="Y8" s="94">
        <v>1.6875000000000001E-2</v>
      </c>
      <c r="Z8" s="83">
        <v>2.0811E-2</v>
      </c>
      <c r="AA8" s="122">
        <v>1.6875000000000001E-2</v>
      </c>
      <c r="AB8" s="122">
        <v>2.16446E-2</v>
      </c>
      <c r="AC8" s="147">
        <v>1.6875000000000001E-2</v>
      </c>
      <c r="AD8" s="7">
        <v>2.33733E-2</v>
      </c>
      <c r="AE8" s="94">
        <v>2.2812499999999999E-2</v>
      </c>
      <c r="AF8" s="62">
        <v>3.7229400000000003E-2</v>
      </c>
      <c r="AG8" s="128">
        <v>2.2812499999999999E-2</v>
      </c>
      <c r="AH8" s="7">
        <v>4.31384E-2</v>
      </c>
      <c r="AI8" s="21">
        <v>9.1249999999999994E-3</v>
      </c>
      <c r="AJ8" s="32">
        <v>6.5213199999999997E-3</v>
      </c>
      <c r="AK8" s="54">
        <v>6.7499999999999999E-3</v>
      </c>
      <c r="AL8" s="54">
        <v>5.7107299999999998E-3</v>
      </c>
      <c r="AM8" s="50">
        <v>9.1249999999999994E-3</v>
      </c>
      <c r="AN8" s="60">
        <v>8.5875799999999992E-3</v>
      </c>
      <c r="AO8" s="34">
        <v>9.1249999999999994E-3</v>
      </c>
      <c r="AP8" s="83">
        <v>9.5842199999999992E-3</v>
      </c>
      <c r="AQ8" s="114">
        <v>1.35E-2</v>
      </c>
      <c r="AR8" s="89">
        <v>1.57787E-2</v>
      </c>
      <c r="AS8" s="114">
        <v>1.35E-2</v>
      </c>
      <c r="AT8" s="89">
        <v>9.1288700000000007E-3</v>
      </c>
      <c r="AU8" s="238">
        <v>1.35E-2</v>
      </c>
      <c r="AV8" s="238">
        <v>1.3397600000000001E-2</v>
      </c>
      <c r="AW8" s="73">
        <v>1.6875000000000001E-2</v>
      </c>
      <c r="AX8" s="80">
        <v>1.1674800000000001E-2</v>
      </c>
      <c r="AY8" s="80">
        <v>8.7500000000000008E-3</v>
      </c>
      <c r="AZ8" s="79">
        <v>6.7672299999999999E-3</v>
      </c>
      <c r="BA8" s="74">
        <v>1.6875000000000001E-2</v>
      </c>
      <c r="BB8" s="74">
        <v>1.602E-2</v>
      </c>
      <c r="BC8" s="73">
        <v>1.6875000000000001E-2</v>
      </c>
      <c r="BD8" s="78">
        <v>1.95327E-2</v>
      </c>
      <c r="BE8" s="7">
        <v>1.35E-2</v>
      </c>
      <c r="BF8" s="58">
        <v>1.7749299999999999E-2</v>
      </c>
      <c r="BG8" s="94">
        <v>1.6875000000000001E-2</v>
      </c>
      <c r="BH8" s="83">
        <v>2.4503E-2</v>
      </c>
      <c r="BI8" s="7">
        <v>2.2812499999999999E-2</v>
      </c>
      <c r="BJ8" s="7">
        <v>4.35404E-2</v>
      </c>
      <c r="BK8" s="7">
        <v>1.6875000000000001E-2</v>
      </c>
      <c r="BL8" s="7">
        <v>9.7321899999999999E-3</v>
      </c>
      <c r="BM8" s="7">
        <v>1.6875000000000001E-2</v>
      </c>
      <c r="BN8" s="110">
        <v>9.7196999999999995E-3</v>
      </c>
      <c r="BO8" s="58">
        <v>1.6875000000000001E-2</v>
      </c>
      <c r="BP8" s="114">
        <v>1.2632000000000001E-2</v>
      </c>
    </row>
    <row r="9" spans="1:76" ht="21" x14ac:dyDescent="0.35">
      <c r="A9" s="30">
        <v>0.114062</v>
      </c>
      <c r="B9" s="16">
        <v>8.0228000000000001E-3</v>
      </c>
      <c r="C9" s="17">
        <v>1.41875E-2</v>
      </c>
      <c r="D9" s="17">
        <v>1.16597E-2</v>
      </c>
      <c r="E9" s="16">
        <v>2.0250000000000001E-2</v>
      </c>
      <c r="F9" s="16">
        <v>1.9664299999999999E-2</v>
      </c>
      <c r="G9" s="53">
        <v>2.0250000000000001E-2</v>
      </c>
      <c r="H9" s="60">
        <v>2.4225099999999999E-2</v>
      </c>
      <c r="I9" s="16">
        <v>2.0250000000000001E-2</v>
      </c>
      <c r="J9" s="16">
        <v>2.5261599999999999E-2</v>
      </c>
      <c r="K9" s="16">
        <v>1.41875E-2</v>
      </c>
      <c r="L9" s="16">
        <v>2.0790300000000001E-2</v>
      </c>
      <c r="M9" s="21">
        <v>2.5312500000000002E-2</v>
      </c>
      <c r="N9" s="16">
        <v>4.1951000000000002E-2</v>
      </c>
      <c r="O9" s="21">
        <v>3.5468699999999999E-2</v>
      </c>
      <c r="P9" s="31">
        <v>7.3690400000000003E-2</v>
      </c>
      <c r="Q9" s="34">
        <v>8.8671800000000005E-3</v>
      </c>
      <c r="R9" s="34">
        <v>6.2885900000000002E-3</v>
      </c>
      <c r="S9" s="71">
        <v>2.5312500000000002E-2</v>
      </c>
      <c r="T9" s="57">
        <v>1.90923E-2</v>
      </c>
      <c r="U9" s="94">
        <v>3.5468800000000002E-2</v>
      </c>
      <c r="V9" s="83">
        <v>2.8243899999999999E-2</v>
      </c>
      <c r="W9" s="134">
        <v>2.5312500000000002E-2</v>
      </c>
      <c r="X9" s="134">
        <v>2.6318899999999999E-2</v>
      </c>
      <c r="Y9" s="94">
        <v>2.5312500000000002E-2</v>
      </c>
      <c r="Z9" s="83">
        <v>2.9404799999999998E-2</v>
      </c>
      <c r="AA9" s="122">
        <v>2.5312500000000002E-2</v>
      </c>
      <c r="AB9" s="122">
        <v>3.0628599999999999E-2</v>
      </c>
      <c r="AC9" s="148">
        <v>2.5312500000000002E-2</v>
      </c>
      <c r="AD9" s="89">
        <v>3.3190799999999999E-2</v>
      </c>
      <c r="AE9" s="94">
        <v>3.5468800000000002E-2</v>
      </c>
      <c r="AF9" s="62">
        <v>5.32597E-2</v>
      </c>
      <c r="AG9" s="128">
        <v>3.5468800000000002E-2</v>
      </c>
      <c r="AH9" s="7">
        <v>6.2209899999999999E-2</v>
      </c>
      <c r="AI9" s="21">
        <v>1.41875E-2</v>
      </c>
      <c r="AJ9" s="32">
        <v>9.7404999999999992E-3</v>
      </c>
      <c r="AK9" s="54">
        <v>1.0125E-2</v>
      </c>
      <c r="AL9" s="54">
        <v>8.3676099999999993E-3</v>
      </c>
      <c r="AM9" s="50">
        <v>1.41875E-2</v>
      </c>
      <c r="AN9" s="60">
        <v>1.2936400000000001E-2</v>
      </c>
      <c r="AO9" s="34">
        <v>1.41875E-2</v>
      </c>
      <c r="AP9" s="84">
        <v>1.4466E-2</v>
      </c>
      <c r="AQ9" s="114">
        <v>2.0250000000000001E-2</v>
      </c>
      <c r="AR9" s="89">
        <v>2.2593700000000001E-2</v>
      </c>
      <c r="AS9" s="114">
        <v>2.0250000000000001E-2</v>
      </c>
      <c r="AT9" s="89">
        <v>1.28045E-2</v>
      </c>
      <c r="AU9" s="238">
        <v>2.0250000000000001E-2</v>
      </c>
      <c r="AV9" s="238">
        <v>1.90642E-2</v>
      </c>
      <c r="AW9" s="73">
        <v>2.5312500000000002E-2</v>
      </c>
      <c r="AX9" s="80">
        <v>1.5958E-2</v>
      </c>
      <c r="AY9" s="80">
        <v>1.4375000000000001E-2</v>
      </c>
      <c r="AZ9" s="79">
        <v>1.0670799999999999E-2</v>
      </c>
      <c r="BA9" s="74">
        <v>2.5312500000000002E-2</v>
      </c>
      <c r="BB9" s="74">
        <v>2.2354200000000001E-2</v>
      </c>
      <c r="BC9" s="73">
        <v>2.5312500000000002E-2</v>
      </c>
      <c r="BD9" s="79">
        <v>2.75204E-2</v>
      </c>
      <c r="BE9" s="7">
        <v>2.0250000000000001E-2</v>
      </c>
      <c r="BF9" s="58">
        <v>2.5532699999999998E-2</v>
      </c>
      <c r="BG9" s="94">
        <v>2.5312500000000002E-2</v>
      </c>
      <c r="BH9" s="84">
        <v>3.4867500000000003E-2</v>
      </c>
      <c r="BI9" s="7">
        <v>3.5468699999999999E-2</v>
      </c>
      <c r="BJ9" s="7">
        <v>6.27775E-2</v>
      </c>
      <c r="BK9" s="7">
        <v>2.5312500000000002E-2</v>
      </c>
      <c r="BL9" s="7">
        <v>1.3138499999999999E-2</v>
      </c>
      <c r="BM9" s="7">
        <v>2.5312500000000002E-2</v>
      </c>
      <c r="BN9" s="110">
        <v>1.3071899999999999E-2</v>
      </c>
      <c r="BO9" s="58">
        <v>2.5312500000000002E-2</v>
      </c>
      <c r="BP9" s="114">
        <v>1.7288100000000001E-2</v>
      </c>
    </row>
    <row r="10" spans="1:76" ht="21" x14ac:dyDescent="0.35">
      <c r="A10" s="30">
        <v>0.177344</v>
      </c>
      <c r="B10" s="17">
        <v>1.1887400000000001E-5</v>
      </c>
      <c r="C10" s="17">
        <v>2.1781200000000001E-2</v>
      </c>
      <c r="D10" s="17">
        <v>1.6819299999999999E-2</v>
      </c>
      <c r="E10" s="16">
        <v>3.0374999999999999E-2</v>
      </c>
      <c r="F10" s="16">
        <v>2.6967100000000001E-2</v>
      </c>
      <c r="G10" s="53">
        <v>3.0374999999999999E-2</v>
      </c>
      <c r="H10" s="60">
        <v>3.36295E-2</v>
      </c>
      <c r="I10" s="175">
        <v>3.0374999999999999E-2</v>
      </c>
      <c r="J10" s="175">
        <v>3.5137000000000002E-2</v>
      </c>
      <c r="K10" s="16">
        <v>2.1781200000000001E-2</v>
      </c>
      <c r="L10" s="16">
        <v>3.0645499999999999E-2</v>
      </c>
      <c r="M10" s="21">
        <v>3.7968799999999997E-2</v>
      </c>
      <c r="N10" s="16">
        <v>5.7799299999999998E-2</v>
      </c>
      <c r="O10" s="21">
        <v>5.4453099999999997E-2</v>
      </c>
      <c r="P10" s="31">
        <v>9.9112699999999998E-2</v>
      </c>
      <c r="Q10" s="7">
        <v>1.36133E-2</v>
      </c>
      <c r="R10" s="7">
        <v>9.3180799999999994E-3</v>
      </c>
      <c r="S10" s="147">
        <v>3.7968700000000001E-2</v>
      </c>
      <c r="T10" s="58">
        <v>2.4770799999999999E-2</v>
      </c>
      <c r="U10" s="126">
        <v>5.4453099999999997E-2</v>
      </c>
      <c r="V10" s="110">
        <v>3.40588E-2</v>
      </c>
      <c r="W10" s="134">
        <v>3.7968700000000001E-2</v>
      </c>
      <c r="X10" s="134">
        <v>3.5106600000000002E-2</v>
      </c>
      <c r="Y10" s="126">
        <v>3.7968700000000001E-2</v>
      </c>
      <c r="Z10" s="110">
        <v>3.9555199999999999E-2</v>
      </c>
      <c r="AA10" s="122">
        <v>3.7968700000000001E-2</v>
      </c>
      <c r="AB10" s="122">
        <v>4.1277899999999999E-2</v>
      </c>
      <c r="AC10" s="148">
        <v>3.7968700000000001E-2</v>
      </c>
      <c r="AD10" s="89">
        <v>4.4968599999999997E-2</v>
      </c>
      <c r="AE10" s="126">
        <v>5.4453099999999997E-2</v>
      </c>
      <c r="AF10" s="151">
        <v>6.9232600000000005E-2</v>
      </c>
      <c r="AG10" s="128">
        <v>5.4453099999999997E-2</v>
      </c>
      <c r="AH10" s="7">
        <v>8.2108E-2</v>
      </c>
      <c r="AI10" s="21">
        <v>2.17813E-2</v>
      </c>
      <c r="AJ10" s="32">
        <v>1.39036E-2</v>
      </c>
      <c r="AK10" s="54">
        <v>1.51875E-2</v>
      </c>
      <c r="AL10" s="54">
        <v>1.21149E-2</v>
      </c>
      <c r="AM10" s="50">
        <v>2.17813E-2</v>
      </c>
      <c r="AN10" s="60">
        <v>1.8717000000000001E-2</v>
      </c>
      <c r="AO10" s="34">
        <v>2.17813E-2</v>
      </c>
      <c r="AP10" s="84">
        <v>2.1004399999999999E-2</v>
      </c>
      <c r="AQ10" s="114">
        <v>3.0374999999999999E-2</v>
      </c>
      <c r="AR10" s="89">
        <v>3.1108400000000001E-2</v>
      </c>
      <c r="AS10" s="114">
        <v>3.0374999999999999E-2</v>
      </c>
      <c r="AT10" s="89">
        <v>1.6943900000000001E-2</v>
      </c>
      <c r="AU10" s="238">
        <v>3.0374999999999999E-2</v>
      </c>
      <c r="AV10" s="238">
        <v>2.60558E-2</v>
      </c>
      <c r="AW10" s="73">
        <v>3.7968700000000001E-2</v>
      </c>
      <c r="AX10" s="80">
        <v>2.0205600000000001E-2</v>
      </c>
      <c r="AY10" s="80">
        <v>2.2812499999999999E-2</v>
      </c>
      <c r="AZ10" s="79">
        <v>1.5676599999999999E-2</v>
      </c>
      <c r="BA10" s="74">
        <v>3.7968700000000001E-2</v>
      </c>
      <c r="BB10" s="74">
        <v>2.93637E-2</v>
      </c>
      <c r="BC10" s="73">
        <v>3.7968700000000001E-2</v>
      </c>
      <c r="BD10" s="79">
        <v>3.6752E-2</v>
      </c>
      <c r="BE10" s="7">
        <v>3.0374999999999999E-2</v>
      </c>
      <c r="BF10" s="58">
        <v>3.5529999999999999E-2</v>
      </c>
      <c r="BG10" s="94">
        <v>3.7968700000000001E-2</v>
      </c>
      <c r="BH10" s="84">
        <v>4.7385900000000002E-2</v>
      </c>
      <c r="BI10" s="7">
        <v>5.4453099999999997E-2</v>
      </c>
      <c r="BJ10" s="7">
        <v>8.2766300000000001E-2</v>
      </c>
      <c r="BK10" s="7">
        <v>3.7968799999999997E-2</v>
      </c>
      <c r="BL10" s="7">
        <v>1.6098500000000002E-2</v>
      </c>
      <c r="BM10" s="7">
        <v>3.7968799999999997E-2</v>
      </c>
      <c r="BN10" s="130">
        <v>1.5806199999999999E-2</v>
      </c>
      <c r="BO10" s="58">
        <v>3.7968799999999997E-2</v>
      </c>
      <c r="BP10" s="58">
        <v>2.16055E-2</v>
      </c>
    </row>
    <row r="11" spans="1:76" ht="21" x14ac:dyDescent="0.35">
      <c r="A11" s="30">
        <v>0.201074</v>
      </c>
      <c r="B11" s="17">
        <v>1.99195E-7</v>
      </c>
      <c r="C11" s="17">
        <v>3.3171899999999997E-2</v>
      </c>
      <c r="D11" s="17">
        <v>2.2784800000000001E-2</v>
      </c>
      <c r="E11" s="16">
        <v>4.5562499999999999E-2</v>
      </c>
      <c r="F11" s="16">
        <v>3.4299200000000002E-2</v>
      </c>
      <c r="G11" s="53">
        <v>4.5562499999999999E-2</v>
      </c>
      <c r="H11" s="60">
        <v>4.3684300000000002E-2</v>
      </c>
      <c r="I11" s="16">
        <v>4.5562499999999999E-2</v>
      </c>
      <c r="J11" s="16">
        <v>4.57498E-2</v>
      </c>
      <c r="K11" s="16">
        <v>3.3171899999999997E-2</v>
      </c>
      <c r="L11" s="16">
        <v>4.3166799999999998E-2</v>
      </c>
      <c r="M11" s="21">
        <v>5.69531E-2</v>
      </c>
      <c r="N11" s="16">
        <v>7.3573899999999998E-2</v>
      </c>
      <c r="O11" s="21">
        <v>8.2929699999999995E-2</v>
      </c>
      <c r="P11" s="31">
        <v>0.115185</v>
      </c>
      <c r="Q11" s="89">
        <v>2.0732400000000002E-2</v>
      </c>
      <c r="R11" s="89">
        <v>1.3293599999999999E-2</v>
      </c>
      <c r="S11" s="148">
        <v>5.69531E-2</v>
      </c>
      <c r="T11" s="114">
        <v>2.8247899999999999E-2</v>
      </c>
      <c r="U11" s="142">
        <v>8.2929600000000006E-2</v>
      </c>
      <c r="V11" s="111">
        <v>3.1863900000000001E-2</v>
      </c>
      <c r="W11" s="134">
        <v>5.69531E-2</v>
      </c>
      <c r="X11" s="134">
        <v>4.2063499999999997E-2</v>
      </c>
      <c r="Y11" s="142">
        <v>5.69531E-2</v>
      </c>
      <c r="Z11" s="111">
        <v>4.8104000000000001E-2</v>
      </c>
      <c r="AA11" s="122">
        <v>5.69531E-2</v>
      </c>
      <c r="AB11" s="122">
        <v>5.0283700000000001E-2</v>
      </c>
      <c r="AC11" s="148">
        <v>5.69531E-2</v>
      </c>
      <c r="AD11" s="89">
        <v>5.5280900000000001E-2</v>
      </c>
      <c r="AE11" s="142">
        <v>8.2929600000000006E-2</v>
      </c>
      <c r="AF11" s="152">
        <v>7.4965599999999993E-2</v>
      </c>
      <c r="AG11" s="128">
        <v>8.2929600000000006E-2</v>
      </c>
      <c r="AH11" s="7">
        <v>9.1394600000000006E-2</v>
      </c>
      <c r="AI11" s="21">
        <v>3.3171899999999997E-2</v>
      </c>
      <c r="AJ11" s="32">
        <v>1.8369400000000001E-2</v>
      </c>
      <c r="AK11" s="54">
        <v>2.2781300000000001E-2</v>
      </c>
      <c r="AL11" s="54">
        <v>1.70084E-2</v>
      </c>
      <c r="AM11" s="50">
        <v>3.3171899999999997E-2</v>
      </c>
      <c r="AN11" s="60">
        <v>2.5371899999999999E-2</v>
      </c>
      <c r="AO11" s="34">
        <v>3.3171899999999997E-2</v>
      </c>
      <c r="AP11" s="84">
        <v>2.8641E-2</v>
      </c>
      <c r="AQ11" s="114">
        <v>4.5562499999999999E-2</v>
      </c>
      <c r="AR11" s="89">
        <v>3.9388100000000002E-2</v>
      </c>
      <c r="AS11" s="114">
        <v>4.5562499999999999E-2</v>
      </c>
      <c r="AT11" s="89">
        <v>1.9952999999999999E-2</v>
      </c>
      <c r="AU11" s="238">
        <v>4.5562499999999999E-2</v>
      </c>
      <c r="AV11" s="238">
        <v>3.2726199999999997E-2</v>
      </c>
      <c r="AW11" s="73">
        <v>5.69531E-2</v>
      </c>
      <c r="AX11" s="99">
        <v>2.1936299999999999E-2</v>
      </c>
      <c r="AY11" s="80">
        <v>3.5468699999999999E-2</v>
      </c>
      <c r="AZ11" s="79">
        <v>2.0984300000000001E-2</v>
      </c>
      <c r="BA11" s="74">
        <v>5.69531E-2</v>
      </c>
      <c r="BB11" s="99">
        <v>3.4130099999999997E-2</v>
      </c>
      <c r="BC11" s="73">
        <v>5.69531E-2</v>
      </c>
      <c r="BD11" s="100">
        <v>4.3961100000000003E-2</v>
      </c>
      <c r="BE11" s="7">
        <v>4.5562499999999999E-2</v>
      </c>
      <c r="BF11" s="58">
        <v>4.6105399999999998E-2</v>
      </c>
      <c r="BG11" s="94">
        <v>5.69531E-2</v>
      </c>
      <c r="BH11" s="84">
        <v>5.8572300000000001E-2</v>
      </c>
      <c r="BI11" s="7">
        <v>8.2929600000000006E-2</v>
      </c>
      <c r="BJ11" s="7">
        <v>9.1624999999999998E-2</v>
      </c>
      <c r="BK11" s="7">
        <v>5.69531E-2</v>
      </c>
      <c r="BL11" s="7">
        <v>1.6156799999999999E-2</v>
      </c>
      <c r="BM11" s="7">
        <v>5.69531E-2</v>
      </c>
      <c r="BN11" s="110">
        <v>1.51153E-2</v>
      </c>
      <c r="BO11" s="58">
        <v>5.69531E-2</v>
      </c>
      <c r="BP11" s="114">
        <v>2.197E-2</v>
      </c>
    </row>
    <row r="12" spans="1:76" ht="21" x14ac:dyDescent="0.35">
      <c r="A12" s="296"/>
      <c r="B12" s="297"/>
      <c r="C12" s="17">
        <v>5.0257799999999998E-2</v>
      </c>
      <c r="D12" s="105">
        <v>2.7621099999999999E-2</v>
      </c>
      <c r="E12" s="16">
        <v>6.8343699999999993E-2</v>
      </c>
      <c r="F12" s="104">
        <v>3.75891E-2</v>
      </c>
      <c r="G12" s="53">
        <v>6.8343699999999993E-2</v>
      </c>
      <c r="H12" s="113">
        <v>4.9740300000000001E-2</v>
      </c>
      <c r="I12" s="16">
        <v>6.8343699999999993E-2</v>
      </c>
      <c r="J12" s="16">
        <v>5.2195699999999998E-2</v>
      </c>
      <c r="K12" s="16">
        <v>5.0257799999999998E-2</v>
      </c>
      <c r="L12" s="16">
        <v>5.6151E-2</v>
      </c>
      <c r="M12" s="21">
        <v>8.5429699999999997E-2</v>
      </c>
      <c r="N12" s="16">
        <v>7.9671199999999998E-2</v>
      </c>
      <c r="O12" s="131">
        <v>0.12564500000000001</v>
      </c>
      <c r="P12" s="143">
        <v>9.6067299999999994E-2</v>
      </c>
      <c r="Q12" s="89">
        <v>3.1411099999999997E-2</v>
      </c>
      <c r="R12" s="89">
        <v>1.7751300000000001E-2</v>
      </c>
      <c r="S12" s="148">
        <v>8.5429699999999997E-2</v>
      </c>
      <c r="T12" s="114">
        <v>2.44592E-2</v>
      </c>
      <c r="U12" s="142">
        <v>0.12564500000000001</v>
      </c>
      <c r="V12" s="111">
        <v>1.43579E-2</v>
      </c>
      <c r="W12" s="134">
        <v>8.5429699999999997E-2</v>
      </c>
      <c r="X12" s="134">
        <v>4.0360699999999999E-2</v>
      </c>
      <c r="Y12" s="142">
        <v>8.5429699999999997E-2</v>
      </c>
      <c r="Z12" s="111">
        <v>4.7556300000000003E-2</v>
      </c>
      <c r="AA12" s="122">
        <v>8.5429699999999997E-2</v>
      </c>
      <c r="AB12" s="122">
        <v>4.9648100000000001E-2</v>
      </c>
      <c r="AC12" s="148">
        <v>8.5429699999999997E-2</v>
      </c>
      <c r="AD12" s="89">
        <v>5.54662E-2</v>
      </c>
      <c r="AE12" s="142">
        <v>0.12564500000000001</v>
      </c>
      <c r="AF12" s="152">
        <v>5.1318900000000001E-2</v>
      </c>
      <c r="AG12" s="128">
        <v>0.12564500000000001</v>
      </c>
      <c r="AH12" s="7">
        <v>6.69014E-2</v>
      </c>
      <c r="AI12" s="21">
        <v>5.0257799999999998E-2</v>
      </c>
      <c r="AJ12" s="101">
        <v>2.1094499999999999E-2</v>
      </c>
      <c r="AK12" s="54">
        <v>3.4171899999999998E-2</v>
      </c>
      <c r="AL12" s="54">
        <v>2.2449500000000001E-2</v>
      </c>
      <c r="AM12" s="50">
        <v>5.0257799999999998E-2</v>
      </c>
      <c r="AN12" s="103">
        <v>3.0495499999999998E-2</v>
      </c>
      <c r="AO12" s="34">
        <v>5.0257799999999998E-2</v>
      </c>
      <c r="AP12" s="176">
        <v>3.4669499999999999E-2</v>
      </c>
      <c r="AQ12" s="114">
        <v>6.8343699999999993E-2</v>
      </c>
      <c r="AR12" s="89">
        <v>4.1558100000000001E-2</v>
      </c>
      <c r="AS12" s="114">
        <v>6.8343699999999993E-2</v>
      </c>
      <c r="AT12" s="89">
        <v>1.8408399999999998E-2</v>
      </c>
      <c r="AU12" s="238">
        <v>6.8343699999999993E-2</v>
      </c>
      <c r="AV12" s="238">
        <v>3.4639000000000003E-2</v>
      </c>
      <c r="AW12" s="73">
        <v>8.5429699999999997E-2</v>
      </c>
      <c r="AX12" s="80">
        <v>1.67076E-2</v>
      </c>
      <c r="AY12" s="80">
        <v>5.4453099999999997E-2</v>
      </c>
      <c r="AZ12" s="100">
        <v>2.40807E-2</v>
      </c>
      <c r="BA12" s="74">
        <v>8.5429699999999997E-2</v>
      </c>
      <c r="BB12" s="80">
        <v>3.0537000000000002E-2</v>
      </c>
      <c r="BC12" s="73">
        <v>8.5429699999999997E-2</v>
      </c>
      <c r="BD12" s="79">
        <v>4.1642400000000003E-2</v>
      </c>
      <c r="BE12" s="7">
        <v>6.8343699999999993E-2</v>
      </c>
      <c r="BF12" s="162">
        <v>5.1910600000000001E-2</v>
      </c>
      <c r="BG12" s="94">
        <v>8.5429699999999997E-2</v>
      </c>
      <c r="BH12" s="109">
        <v>5.9363300000000001E-2</v>
      </c>
      <c r="BI12" s="7">
        <v>0.12564500000000001</v>
      </c>
      <c r="BJ12" s="7">
        <v>6.5270300000000003E-2</v>
      </c>
      <c r="BK12" s="7">
        <v>8.5429699999999997E-2</v>
      </c>
      <c r="BL12" s="7">
        <v>9.81747E-3</v>
      </c>
      <c r="BM12" s="7">
        <v>8.5429699999999997E-2</v>
      </c>
      <c r="BN12" s="110">
        <v>6.78109E-3</v>
      </c>
      <c r="BO12" s="58">
        <v>8.5429699999999997E-2</v>
      </c>
      <c r="BP12" s="114">
        <v>1.1898499999999999E-2</v>
      </c>
    </row>
    <row r="13" spans="1:76" ht="21" x14ac:dyDescent="0.35">
      <c r="A13" s="298"/>
      <c r="B13" s="299"/>
      <c r="C13" s="17">
        <v>7.5886700000000001E-2</v>
      </c>
      <c r="D13" s="17">
        <v>2.6970500000000001E-2</v>
      </c>
      <c r="E13" s="16">
        <v>0.102516</v>
      </c>
      <c r="F13" s="16">
        <v>2.9418900000000001E-2</v>
      </c>
      <c r="G13" s="53">
        <v>0.102516</v>
      </c>
      <c r="H13" s="60">
        <v>4.2392600000000003E-2</v>
      </c>
      <c r="I13" s="16">
        <v>0.102516</v>
      </c>
      <c r="J13" s="16">
        <v>4.4361100000000001E-2</v>
      </c>
      <c r="K13" s="16">
        <v>7.5886700000000001E-2</v>
      </c>
      <c r="L13" s="16">
        <v>6.2818600000000002E-2</v>
      </c>
      <c r="M13" s="21">
        <v>0.12814500000000001</v>
      </c>
      <c r="N13" s="16">
        <v>5.7883999999999998E-2</v>
      </c>
      <c r="O13" s="132">
        <v>0.189717</v>
      </c>
      <c r="P13" s="92">
        <v>7.2010900000000003E-3</v>
      </c>
      <c r="Q13" s="89">
        <v>4.7429199999999998E-2</v>
      </c>
      <c r="R13" s="89">
        <v>2.10441E-2</v>
      </c>
      <c r="S13" s="148">
        <v>0.12814500000000001</v>
      </c>
      <c r="T13" s="114">
        <v>9.2673300000000007E-3</v>
      </c>
      <c r="U13" s="142">
        <v>0.189717</v>
      </c>
      <c r="V13" s="111">
        <v>-3.7711200000000002E-3</v>
      </c>
      <c r="W13" s="134">
        <v>0.12814500000000001</v>
      </c>
      <c r="X13" s="134">
        <v>2.08203E-2</v>
      </c>
      <c r="Y13" s="142">
        <v>0.12814500000000001</v>
      </c>
      <c r="Z13" s="111">
        <v>2.6738000000000001E-2</v>
      </c>
      <c r="AA13" s="122">
        <v>0.12814500000000001</v>
      </c>
      <c r="AB13" s="122">
        <v>2.6867100000000001E-2</v>
      </c>
      <c r="AC13" s="148">
        <v>0.12814500000000001</v>
      </c>
      <c r="AD13" s="89">
        <v>3.11518E-2</v>
      </c>
      <c r="AE13" s="142">
        <v>0.189717</v>
      </c>
      <c r="AF13" s="152">
        <v>-1.5343799999999999E-2</v>
      </c>
      <c r="AG13" s="128">
        <v>0.189717</v>
      </c>
      <c r="AH13" s="7">
        <v>-1.54371E-2</v>
      </c>
      <c r="AI13" s="21">
        <v>7.5886700000000001E-2</v>
      </c>
      <c r="AJ13" s="32">
        <v>1.8025099999999999E-2</v>
      </c>
      <c r="AK13" s="54">
        <v>5.1257799999999999E-2</v>
      </c>
      <c r="AL13" s="102">
        <v>2.6274700000000002E-2</v>
      </c>
      <c r="AM13" s="50">
        <v>7.5886700000000001E-2</v>
      </c>
      <c r="AN13" s="61">
        <v>2.85756E-2</v>
      </c>
      <c r="AO13" s="34">
        <v>7.5886700000000001E-2</v>
      </c>
      <c r="AP13" s="84">
        <v>3.2437599999999997E-2</v>
      </c>
      <c r="AQ13" s="58">
        <v>0.102516</v>
      </c>
      <c r="AR13" s="58">
        <v>2.65881E-2</v>
      </c>
      <c r="AS13" s="58">
        <v>0.102516</v>
      </c>
      <c r="AT13" s="58">
        <v>8.5696899999999996E-3</v>
      </c>
      <c r="AU13" s="238">
        <v>0.102516</v>
      </c>
      <c r="AV13" s="238">
        <v>2.4202899999999999E-2</v>
      </c>
      <c r="AW13" s="73">
        <v>0.12814500000000001</v>
      </c>
      <c r="AX13" s="80">
        <v>2.6533300000000002E-3</v>
      </c>
      <c r="AY13" s="80">
        <v>8.2929600000000006E-2</v>
      </c>
      <c r="AZ13" s="79">
        <v>2.0130800000000001E-2</v>
      </c>
      <c r="BA13" s="74">
        <v>0.12814500000000001</v>
      </c>
      <c r="BB13" s="80">
        <v>1.1937400000000001E-2</v>
      </c>
      <c r="BC13" s="73">
        <v>0.12814500000000001</v>
      </c>
      <c r="BD13" s="79">
        <v>1.9235599999999999E-2</v>
      </c>
      <c r="BE13" s="7">
        <v>0.102516</v>
      </c>
      <c r="BF13" s="58">
        <v>4.21249E-2</v>
      </c>
      <c r="BG13" s="94">
        <v>0.12814500000000001</v>
      </c>
      <c r="BH13" s="84">
        <v>3.4575700000000001E-2</v>
      </c>
      <c r="BI13" s="7">
        <v>0.189717</v>
      </c>
      <c r="BJ13" s="7">
        <v>-2.0860699999999999E-2</v>
      </c>
      <c r="BK13" s="7">
        <v>0.12814500000000001</v>
      </c>
      <c r="BL13" s="7">
        <v>2.04212E-4</v>
      </c>
      <c r="BM13" s="7">
        <v>0.12814500000000001</v>
      </c>
      <c r="BN13" s="110">
        <v>-7.0986900000000004E-3</v>
      </c>
      <c r="BO13" s="58">
        <v>0.12814500000000001</v>
      </c>
      <c r="BP13" s="114">
        <v>-1.1859099999999999E-2</v>
      </c>
    </row>
    <row r="14" spans="1:76" ht="21" x14ac:dyDescent="0.35">
      <c r="A14" s="298"/>
      <c r="B14" s="299"/>
      <c r="C14" s="17">
        <v>0.11433</v>
      </c>
      <c r="D14" s="17">
        <v>1.5201299999999999E-2</v>
      </c>
      <c r="E14" s="16">
        <v>0.15377299999999999</v>
      </c>
      <c r="F14" s="16">
        <v>6.3691599999999996E-3</v>
      </c>
      <c r="G14" s="53">
        <v>0.15377299999999999</v>
      </c>
      <c r="H14" s="60">
        <v>1.2865100000000001E-2</v>
      </c>
      <c r="I14" s="116">
        <v>0.15377299999999999</v>
      </c>
      <c r="J14" s="116">
        <v>1.16477E-2</v>
      </c>
      <c r="K14" s="12">
        <v>0.11433</v>
      </c>
      <c r="L14" s="12">
        <v>4.9853599999999998E-2</v>
      </c>
      <c r="M14" s="131">
        <v>0.192217</v>
      </c>
      <c r="N14" s="12">
        <v>-5.3055100000000003E-3</v>
      </c>
      <c r="O14" s="132">
        <v>0.21374399999999999</v>
      </c>
      <c r="P14" s="92">
        <v>-3.1460599999999998E-2</v>
      </c>
      <c r="Q14" s="89">
        <v>7.14563E-2</v>
      </c>
      <c r="R14" s="89">
        <v>1.95801E-2</v>
      </c>
      <c r="S14" s="148">
        <v>0.192217</v>
      </c>
      <c r="T14" s="114">
        <v>1.35937E-5</v>
      </c>
      <c r="U14" s="142">
        <v>0.21374399999999999</v>
      </c>
      <c r="V14" s="111">
        <v>1.31897E-5</v>
      </c>
      <c r="W14" s="134">
        <v>0.192217</v>
      </c>
      <c r="X14" s="134">
        <v>-5.69916E-3</v>
      </c>
      <c r="Y14" s="142">
        <v>0.192217</v>
      </c>
      <c r="Z14" s="111">
        <v>-7.9704100000000007E-3</v>
      </c>
      <c r="AA14" s="122">
        <v>0.192217</v>
      </c>
      <c r="AB14" s="122">
        <v>-1.44835E-2</v>
      </c>
      <c r="AC14" s="148">
        <v>0.192217</v>
      </c>
      <c r="AD14" s="89">
        <v>-1.8493200000000001E-2</v>
      </c>
      <c r="AE14" s="142">
        <v>0.21374399999999999</v>
      </c>
      <c r="AF14" s="152">
        <v>-3.6129799999999997E-2</v>
      </c>
      <c r="AG14" s="128">
        <v>0.21374399999999999</v>
      </c>
      <c r="AH14" s="7">
        <v>-4.6243699999999999E-2</v>
      </c>
      <c r="AI14" s="46">
        <v>0.11433</v>
      </c>
      <c r="AJ14" s="38">
        <v>5.9487300000000002E-3</v>
      </c>
      <c r="AK14" s="53">
        <v>7.6886700000000002E-2</v>
      </c>
      <c r="AL14" s="53">
        <v>2.38785E-2</v>
      </c>
      <c r="AM14" s="52">
        <v>0.11433</v>
      </c>
      <c r="AN14" s="51">
        <v>1.2304600000000001E-2</v>
      </c>
      <c r="AO14" s="34">
        <v>0.11433</v>
      </c>
      <c r="AP14" s="84">
        <v>1.18207E-2</v>
      </c>
      <c r="AQ14" s="114">
        <v>0.15377299999999999</v>
      </c>
      <c r="AR14" s="114">
        <v>-1.3738200000000001E-2</v>
      </c>
      <c r="AS14" s="114">
        <v>0.15377299999999999</v>
      </c>
      <c r="AT14" s="114">
        <v>6.0700000000000003E-6</v>
      </c>
      <c r="AU14" s="238">
        <v>0.15377299999999999</v>
      </c>
      <c r="AV14" s="238">
        <v>2.1514099999999999E-4</v>
      </c>
      <c r="AW14" s="73">
        <v>0.192217</v>
      </c>
      <c r="AX14" s="80">
        <v>8.6213499999999998E-7</v>
      </c>
      <c r="AY14" s="74">
        <v>0.12564500000000001</v>
      </c>
      <c r="AZ14" s="78">
        <v>5.9423599999999998E-3</v>
      </c>
      <c r="BA14" s="74">
        <v>0.192217</v>
      </c>
      <c r="BB14" s="80">
        <v>-4.1372700000000002E-3</v>
      </c>
      <c r="BC14" s="73">
        <v>0.192217</v>
      </c>
      <c r="BD14" s="79">
        <v>-1.36653E-2</v>
      </c>
      <c r="BE14" s="7">
        <v>0.15377299999999999</v>
      </c>
      <c r="BF14" s="57">
        <v>6.1220700000000003E-3</v>
      </c>
      <c r="BG14" s="94">
        <v>0.192217</v>
      </c>
      <c r="BH14" s="84">
        <v>-1.7301899999999999E-2</v>
      </c>
      <c r="BI14" s="7">
        <v>0.21374399999999999</v>
      </c>
      <c r="BJ14" s="7">
        <v>-5.27298E-2</v>
      </c>
      <c r="BK14" s="7">
        <v>0.192217</v>
      </c>
      <c r="BL14" s="89">
        <v>1.19E-6</v>
      </c>
      <c r="BM14" s="7">
        <v>0.192217</v>
      </c>
      <c r="BN14" s="111">
        <v>1.0108100000000001E-5</v>
      </c>
      <c r="BO14" s="58">
        <v>0.192217</v>
      </c>
      <c r="BP14" s="114">
        <v>-1.23994E-2</v>
      </c>
    </row>
    <row r="15" spans="1:76" ht="21" x14ac:dyDescent="0.35">
      <c r="A15" s="298"/>
      <c r="B15" s="299"/>
      <c r="C15" s="17">
        <v>0.17199500000000001</v>
      </c>
      <c r="D15" s="17">
        <v>6.4319000000000005E-5</v>
      </c>
      <c r="E15" s="16">
        <v>0.23066</v>
      </c>
      <c r="F15" s="17">
        <v>1.7302000000000001E-5</v>
      </c>
      <c r="G15" s="53">
        <v>0.23066</v>
      </c>
      <c r="H15" s="60">
        <v>-5.3462300000000004E-3</v>
      </c>
      <c r="I15" s="116">
        <v>0.23066</v>
      </c>
      <c r="J15" s="116">
        <v>-1.5040599999999999E-2</v>
      </c>
      <c r="K15" s="12">
        <v>0.17199500000000001</v>
      </c>
      <c r="L15" s="116">
        <v>6.0916399999999997E-3</v>
      </c>
      <c r="M15" s="132">
        <v>0.21624399999999999</v>
      </c>
      <c r="N15" s="116">
        <v>-2.5480900000000001E-2</v>
      </c>
      <c r="O15" s="132">
        <v>0.24978400000000001</v>
      </c>
      <c r="P15" s="92">
        <v>-8.1212400000000004E-2</v>
      </c>
      <c r="Q15" s="89">
        <v>0.107497</v>
      </c>
      <c r="R15" s="89">
        <v>9.0872499999999998E-3</v>
      </c>
      <c r="S15" s="148">
        <v>0.21624399999999999</v>
      </c>
      <c r="T15" s="114">
        <v>2.8339900000000001E-9</v>
      </c>
      <c r="U15" s="142">
        <v>0.24978400000000001</v>
      </c>
      <c r="V15" s="111">
        <v>1.39676E-9</v>
      </c>
      <c r="W15" s="134">
        <v>0.21624399999999999</v>
      </c>
      <c r="X15" s="134">
        <v>-3.4907100000000002E-3</v>
      </c>
      <c r="Y15" s="142">
        <v>0.21624399999999999</v>
      </c>
      <c r="Z15" s="111">
        <v>-9.83763E-3</v>
      </c>
      <c r="AA15" s="122">
        <v>0.21624399999999999</v>
      </c>
      <c r="AB15" s="122">
        <v>-1.94158E-2</v>
      </c>
      <c r="AC15" s="148">
        <v>0.21624399999999999</v>
      </c>
      <c r="AD15" s="89">
        <v>-2.7926300000000001E-2</v>
      </c>
      <c r="AE15" s="142">
        <v>0.24978400000000001</v>
      </c>
      <c r="AF15" s="152">
        <v>-4.9947499999999999E-2</v>
      </c>
      <c r="AG15" s="128">
        <v>0.24978400000000001</v>
      </c>
      <c r="AH15" s="7">
        <v>-7.8289700000000004E-2</v>
      </c>
      <c r="AI15" s="48"/>
      <c r="AJ15" s="47"/>
      <c r="AK15" s="59">
        <v>0.11533</v>
      </c>
      <c r="AL15" s="59">
        <v>1.0465800000000001E-2</v>
      </c>
      <c r="AM15" s="53">
        <v>0.17199500000000001</v>
      </c>
      <c r="AN15" s="54">
        <v>-8.6819900000000005E-3</v>
      </c>
      <c r="AO15" s="58">
        <v>0.17199500000000001</v>
      </c>
      <c r="AP15" s="151">
        <v>-2.3326800000000002E-2</v>
      </c>
      <c r="AQ15" s="114">
        <v>0.23066</v>
      </c>
      <c r="AR15" s="114">
        <v>-2.8508700000000001E-2</v>
      </c>
      <c r="AS15" s="114">
        <v>0.23066</v>
      </c>
      <c r="AT15" s="114">
        <v>1.49E-10</v>
      </c>
      <c r="AU15" s="238">
        <v>0.23066</v>
      </c>
      <c r="AV15" s="266">
        <v>1.66E-5</v>
      </c>
      <c r="AW15" s="115">
        <v>0.21624399999999999</v>
      </c>
      <c r="AX15" s="81">
        <v>4.4932399999999997E-9</v>
      </c>
      <c r="AY15" s="97">
        <v>0.189717</v>
      </c>
      <c r="AZ15" s="98">
        <v>7.3235800000000001E-5</v>
      </c>
      <c r="BA15" s="74">
        <v>0.21624399999999999</v>
      </c>
      <c r="BB15" s="80">
        <v>1.02591E-5</v>
      </c>
      <c r="BC15" s="95">
        <v>0.21624399999999999</v>
      </c>
      <c r="BD15" s="95">
        <v>-1.3232300000000001E-2</v>
      </c>
      <c r="BE15" s="7">
        <v>0.23066</v>
      </c>
      <c r="BF15" s="58">
        <v>-1.8926599999999998E-2</v>
      </c>
      <c r="BG15" s="126">
        <v>0.21624399999999999</v>
      </c>
      <c r="BH15" s="110">
        <v>-2.7459799999999999E-2</v>
      </c>
      <c r="BI15" s="7">
        <v>0.24978400000000001</v>
      </c>
      <c r="BJ15" s="7">
        <v>-8.5313E-2</v>
      </c>
      <c r="BK15" s="7">
        <v>0.21624399999999999</v>
      </c>
      <c r="BL15" s="89">
        <v>9.7600000000000004E-11</v>
      </c>
      <c r="BM15" s="7">
        <v>0.21624399999999999</v>
      </c>
      <c r="BN15" s="111">
        <v>5.2784799999999997E-10</v>
      </c>
      <c r="BO15" s="58">
        <v>0.21624399999999999</v>
      </c>
      <c r="BP15" s="114">
        <v>1.1643300000000001E-5</v>
      </c>
    </row>
    <row r="16" spans="1:76" ht="21" x14ac:dyDescent="0.35">
      <c r="A16" s="298"/>
      <c r="B16" s="299"/>
      <c r="C16" s="302"/>
      <c r="D16" s="297"/>
      <c r="E16" s="302"/>
      <c r="F16" s="297"/>
      <c r="G16" s="59">
        <v>0.25949299999999997</v>
      </c>
      <c r="H16" s="91">
        <v>9.6025699999999998E-6</v>
      </c>
      <c r="I16" s="116">
        <v>0.25949299999999997</v>
      </c>
      <c r="J16" s="116">
        <v>-1.2931799999999999E-3</v>
      </c>
      <c r="K16" s="12">
        <v>0.25849299999999997</v>
      </c>
      <c r="L16" s="116">
        <v>-1.42901E-2</v>
      </c>
      <c r="M16" s="132">
        <v>0.25228499999999998</v>
      </c>
      <c r="N16" s="116">
        <v>-3.99073E-2</v>
      </c>
      <c r="O16" s="132">
        <v>0.30384499999999998</v>
      </c>
      <c r="P16" s="92">
        <v>-0.11057500000000001</v>
      </c>
      <c r="Q16" s="89">
        <v>0.16155800000000001</v>
      </c>
      <c r="R16" s="89">
        <v>2.98372E-6</v>
      </c>
      <c r="S16" s="63"/>
      <c r="T16" s="63"/>
      <c r="U16" s="87"/>
      <c r="V16" s="87"/>
      <c r="W16" s="134">
        <v>0.25228499999999998</v>
      </c>
      <c r="X16" s="134">
        <v>4.2071199999999996E-6</v>
      </c>
      <c r="Y16" s="142">
        <v>0.25228499999999998</v>
      </c>
      <c r="Z16" s="111">
        <v>2.62279E-5</v>
      </c>
      <c r="AA16" s="122">
        <v>0.25228499999999998</v>
      </c>
      <c r="AB16" s="122">
        <v>-6.6746799999999997E-3</v>
      </c>
      <c r="AC16" s="148">
        <v>0.25228499999999998</v>
      </c>
      <c r="AD16" s="89">
        <v>-2.16475E-2</v>
      </c>
      <c r="AE16" s="142">
        <v>0.303846</v>
      </c>
      <c r="AF16" s="152">
        <v>-1.32181E-2</v>
      </c>
      <c r="AG16" s="129">
        <v>0.303846</v>
      </c>
      <c r="AH16" s="89">
        <v>-6.9605399999999998E-2</v>
      </c>
      <c r="AI16" s="48"/>
      <c r="AJ16" s="48"/>
      <c r="AK16" s="59">
        <v>0.17299500000000001</v>
      </c>
      <c r="AL16" s="59">
        <v>-1.4859300000000001E-4</v>
      </c>
      <c r="AM16" s="65">
        <v>0.25849299999999997</v>
      </c>
      <c r="AN16" s="66">
        <v>9.2673500000000003E-6</v>
      </c>
      <c r="AO16" s="58">
        <v>0.25849299999999997</v>
      </c>
      <c r="AP16" s="152">
        <v>3.4503499999999999E-5</v>
      </c>
      <c r="AQ16" s="114">
        <v>0.25949299999999997</v>
      </c>
      <c r="AR16" s="114">
        <v>-2.0657399999999999E-3</v>
      </c>
      <c r="AS16" s="114">
        <v>0.25949299999999997</v>
      </c>
      <c r="AT16" s="114">
        <v>3.9800000000000001E-11</v>
      </c>
      <c r="AU16" s="238">
        <v>0.25949299999999997</v>
      </c>
      <c r="AV16" s="266">
        <v>3.88E-10</v>
      </c>
      <c r="AW16" s="72"/>
      <c r="AX16" s="82"/>
      <c r="AY16" s="108">
        <v>0.21374399999999999</v>
      </c>
      <c r="AZ16" s="106">
        <v>2.5734699999999998E-7</v>
      </c>
      <c r="BA16" s="75">
        <v>0.25228499999999998</v>
      </c>
      <c r="BB16" s="81">
        <v>2.5292999999999999E-9</v>
      </c>
      <c r="BC16" s="95">
        <v>0.25228499999999998</v>
      </c>
      <c r="BD16" s="96">
        <v>2.5392999999999999E-5</v>
      </c>
      <c r="BE16" s="88">
        <v>0.25949299999999997</v>
      </c>
      <c r="BF16" s="90">
        <v>-1.52626E-3</v>
      </c>
      <c r="BG16" s="126">
        <v>0.25228499999999998</v>
      </c>
      <c r="BH16" s="110">
        <v>-2.16925E-2</v>
      </c>
      <c r="BI16" s="7">
        <v>0.303846</v>
      </c>
      <c r="BJ16" s="110">
        <v>-7.4125499999999997E-2</v>
      </c>
      <c r="BM16" s="58"/>
      <c r="BN16" s="114"/>
      <c r="BO16" s="58">
        <v>0.25228499999999998</v>
      </c>
      <c r="BP16" s="114">
        <v>1.93825E-9</v>
      </c>
    </row>
    <row r="17" spans="1:82" ht="21" x14ac:dyDescent="0.3">
      <c r="A17" s="298"/>
      <c r="B17" s="299"/>
      <c r="C17" s="303"/>
      <c r="D17" s="299"/>
      <c r="E17" s="303"/>
      <c r="F17" s="299"/>
      <c r="G17" s="112"/>
      <c r="H17" s="64"/>
      <c r="I17" s="116">
        <v>0.30274200000000001</v>
      </c>
      <c r="J17" s="116">
        <v>6.49043E-8</v>
      </c>
      <c r="K17" s="12">
        <v>0.29092899999999999</v>
      </c>
      <c r="L17" s="116">
        <v>1.7404299999999999E-5</v>
      </c>
      <c r="M17" s="132">
        <v>0.30634600000000001</v>
      </c>
      <c r="N17" s="116">
        <v>-8.5685699999999993E-3</v>
      </c>
      <c r="O17" s="132">
        <v>0.38493699999999997</v>
      </c>
      <c r="P17" s="92">
        <v>4.9089999999999995E-4</v>
      </c>
      <c r="Q17" s="89">
        <v>0.242649</v>
      </c>
      <c r="R17" s="89">
        <v>1.5189999999999999E-10</v>
      </c>
      <c r="S17" s="63"/>
      <c r="T17" s="63"/>
      <c r="U17" s="87"/>
      <c r="V17" s="87"/>
      <c r="W17" s="134">
        <v>0.30634499999999998</v>
      </c>
      <c r="X17" s="134">
        <v>4.8612500000000001E-10</v>
      </c>
      <c r="Y17" s="20"/>
      <c r="Z17" s="20"/>
      <c r="AA17" s="119">
        <v>0.30634499999999998</v>
      </c>
      <c r="AB17" s="119">
        <v>2.2377000000000002E-6</v>
      </c>
      <c r="AC17" s="148">
        <v>0.30634499999999998</v>
      </c>
      <c r="AD17" s="89">
        <v>3.0540799999999997E-5</v>
      </c>
      <c r="AE17" s="142">
        <v>0.38493699999999997</v>
      </c>
      <c r="AF17" s="152">
        <v>3.3956600000000001E-6</v>
      </c>
      <c r="AG17" s="129">
        <v>0.38493699999999997</v>
      </c>
      <c r="AH17" s="89">
        <v>7.4156600000000001E-5</v>
      </c>
      <c r="AI17" s="49"/>
      <c r="AJ17" s="49"/>
      <c r="AK17" s="307"/>
      <c r="AL17" s="307"/>
      <c r="AM17" s="48"/>
      <c r="AN17" s="47"/>
      <c r="AO17" s="77"/>
      <c r="AP17" s="63"/>
      <c r="AQ17" s="114">
        <v>0.30274099999999998</v>
      </c>
      <c r="AR17" s="114">
        <v>6.2663999999999998E-8</v>
      </c>
      <c r="AS17" s="114"/>
      <c r="AT17" s="114"/>
      <c r="AW17" s="1"/>
      <c r="AX17" s="70"/>
      <c r="AY17" s="48"/>
      <c r="AZ17" s="47"/>
      <c r="BA17" s="76"/>
      <c r="BB17" s="86"/>
      <c r="BC17" s="76"/>
      <c r="BD17" s="107"/>
      <c r="BE17" s="89">
        <v>0.30274099999999998</v>
      </c>
      <c r="BF17" s="114">
        <v>5.9084199999999999E-8</v>
      </c>
      <c r="BG17" s="126">
        <v>0.30634600000000001</v>
      </c>
      <c r="BH17" s="111">
        <v>2.93771E-5</v>
      </c>
      <c r="BI17" s="7">
        <v>0.38493699999999997</v>
      </c>
      <c r="BJ17" s="111">
        <v>6.9001800000000001E-5</v>
      </c>
      <c r="BM17" s="77"/>
      <c r="BN17" s="63"/>
    </row>
    <row r="18" spans="1:82" ht="21.75" thickBot="1" x14ac:dyDescent="0.35">
      <c r="A18" s="300"/>
      <c r="B18" s="301"/>
      <c r="C18" s="304"/>
      <c r="D18" s="301"/>
      <c r="E18" s="304"/>
      <c r="F18" s="299"/>
      <c r="G18" s="112"/>
      <c r="H18" s="64"/>
      <c r="I18" s="64"/>
      <c r="J18" s="64"/>
      <c r="K18" s="12">
        <v>0.339584</v>
      </c>
      <c r="L18" s="116">
        <v>2.2416800000000001E-9</v>
      </c>
      <c r="M18" s="132">
        <v>0.38743699999999998</v>
      </c>
      <c r="N18" s="116">
        <v>1.1804899999999999E-6</v>
      </c>
      <c r="O18" s="132">
        <v>0.41534599999999999</v>
      </c>
      <c r="P18" s="92">
        <v>2.4229499999999998E-6</v>
      </c>
      <c r="Q18" s="89">
        <v>0.273059</v>
      </c>
      <c r="R18" s="89">
        <v>3.85825E-11</v>
      </c>
      <c r="S18" s="144"/>
      <c r="T18" s="144"/>
      <c r="U18" s="145"/>
      <c r="V18" s="145"/>
      <c r="W18" s="63"/>
      <c r="X18" s="63"/>
      <c r="Y18" s="146"/>
      <c r="Z18" s="146"/>
      <c r="AA18" s="119">
        <v>0.38743699999999998</v>
      </c>
      <c r="AB18" s="119">
        <v>8.8857600000000001E-10</v>
      </c>
      <c r="AC18" s="148">
        <v>0.38743699999999998</v>
      </c>
      <c r="AD18" s="89">
        <v>1.8499100000000001E-9</v>
      </c>
      <c r="AE18" s="20"/>
      <c r="AF18" s="20"/>
      <c r="AG18" s="128">
        <v>0.41534599999999999</v>
      </c>
      <c r="AH18" s="89">
        <v>1.81626E-8</v>
      </c>
      <c r="AI18" s="67"/>
      <c r="AJ18" s="67"/>
      <c r="AK18" s="308"/>
      <c r="AL18" s="308"/>
      <c r="AM18" s="68"/>
      <c r="AN18" s="69"/>
      <c r="AO18" s="77"/>
      <c r="AP18" s="63"/>
      <c r="AQ18" s="63"/>
      <c r="AR18" s="63"/>
      <c r="BA18" s="1"/>
      <c r="BB18" s="70"/>
      <c r="BC18" s="48"/>
      <c r="BD18" s="47"/>
      <c r="BE18" s="76"/>
      <c r="BF18" s="86"/>
      <c r="BG18" s="76"/>
      <c r="BH18" s="107"/>
      <c r="BI18" s="89"/>
      <c r="BJ18" s="114"/>
      <c r="BK18" s="327"/>
      <c r="BL18" s="327"/>
      <c r="BO18" s="6"/>
      <c r="BP18" s="87"/>
      <c r="BQ18" s="77"/>
      <c r="BR18" s="63"/>
    </row>
    <row r="19" spans="1:82" ht="21" x14ac:dyDescent="0.3">
      <c r="A19" s="13"/>
      <c r="B19" s="13"/>
      <c r="C19" s="13"/>
      <c r="D19" s="13"/>
      <c r="E19" s="13"/>
      <c r="F19" s="29">
        <v>9.4100999999999994E-3</v>
      </c>
      <c r="G19" s="112"/>
      <c r="H19" s="64"/>
      <c r="I19" s="64"/>
      <c r="J19" s="64"/>
      <c r="K19" s="12">
        <v>0.41256700000000002</v>
      </c>
      <c r="L19" s="116">
        <v>1.2331599999999999E-9</v>
      </c>
      <c r="M19" s="131">
        <v>0.41784700000000002</v>
      </c>
      <c r="N19" s="116">
        <v>1.16052E-9</v>
      </c>
      <c r="O19" s="20"/>
      <c r="P19" s="20"/>
      <c r="Q19" s="20"/>
      <c r="R19" s="20"/>
      <c r="S19" s="63"/>
      <c r="T19" s="63"/>
      <c r="U19" s="87"/>
      <c r="V19" s="87"/>
      <c r="W19" s="63"/>
      <c r="X19" s="63"/>
      <c r="Y19" s="20"/>
      <c r="Z19" s="20"/>
      <c r="AA19" s="122"/>
      <c r="AB19" s="122"/>
      <c r="AC19" s="63"/>
      <c r="AD19" s="20"/>
      <c r="AE19" s="20"/>
      <c r="AF19" s="20"/>
      <c r="AG19" s="150"/>
      <c r="AH19" s="87"/>
      <c r="AO19" s="77"/>
      <c r="AP19" s="63"/>
      <c r="AQ19" s="77"/>
      <c r="AR19" s="63"/>
      <c r="BA19" s="1"/>
      <c r="BB19" s="70"/>
      <c r="BC19" s="2"/>
      <c r="BD19" s="70"/>
      <c r="BE19" s="77"/>
      <c r="BF19" s="87"/>
      <c r="BG19" s="77"/>
      <c r="BH19" s="63"/>
      <c r="BI19" s="89"/>
      <c r="BJ19" s="114"/>
      <c r="BK19" s="77"/>
      <c r="BL19" s="56"/>
      <c r="BN19" s="55"/>
      <c r="BQ19" s="6"/>
      <c r="BR19" s="87"/>
      <c r="BS19" s="77"/>
      <c r="BT19" s="63"/>
    </row>
    <row r="20" spans="1:82" ht="21" x14ac:dyDescent="0.3">
      <c r="A20" s="13"/>
      <c r="B20" s="13"/>
      <c r="C20" s="13"/>
      <c r="D20" s="13"/>
      <c r="E20" s="13"/>
      <c r="F20" s="14"/>
      <c r="G20" s="112"/>
      <c r="H20" s="64"/>
      <c r="I20" s="64"/>
      <c r="J20" s="64"/>
      <c r="K20" s="12">
        <v>0.5</v>
      </c>
      <c r="L20" s="116">
        <v>8.7163699999999998E-10</v>
      </c>
      <c r="M20" s="3"/>
      <c r="N20" s="20"/>
      <c r="O20" s="20"/>
      <c r="P20" s="20"/>
      <c r="Q20" s="20"/>
      <c r="R20" s="20"/>
      <c r="S20" s="20"/>
      <c r="T20" s="20"/>
      <c r="U20" s="63"/>
      <c r="V20" s="63"/>
      <c r="W20" s="87"/>
      <c r="X20" s="87"/>
      <c r="Y20" s="63"/>
      <c r="Z20" s="63"/>
      <c r="AA20" s="20"/>
      <c r="AB20" s="20"/>
      <c r="AC20" s="124"/>
      <c r="AD20" s="56"/>
      <c r="AE20" s="63"/>
      <c r="AF20" s="20"/>
      <c r="AG20" s="20"/>
      <c r="AH20" s="20"/>
      <c r="AI20" s="150"/>
      <c r="AJ20" s="87"/>
      <c r="AQ20" s="77"/>
      <c r="AR20" s="63"/>
      <c r="AS20" s="77"/>
      <c r="AT20" s="63"/>
      <c r="BK20" s="1"/>
      <c r="BL20" s="70">
        <v>7.8200000000000006E-3</v>
      </c>
      <c r="BM20" s="2"/>
      <c r="BN20" s="70">
        <v>8.6099999999999996E-3</v>
      </c>
      <c r="BO20" s="77"/>
      <c r="BP20" s="87">
        <v>1.2200000000000001E-2</v>
      </c>
      <c r="BQ20" s="77"/>
      <c r="BR20" s="63">
        <v>1.575E-2</v>
      </c>
      <c r="BS20" s="87"/>
      <c r="BT20" s="63"/>
      <c r="BU20" s="77"/>
      <c r="BV20" s="56"/>
      <c r="BX20" s="55"/>
      <c r="CA20" s="6"/>
      <c r="CB20" s="87"/>
      <c r="CC20" s="77"/>
      <c r="CD20" s="63"/>
    </row>
    <row r="21" spans="1:82" ht="21" x14ac:dyDescent="0.3">
      <c r="A21" s="13"/>
      <c r="B21" s="13"/>
      <c r="C21" s="13"/>
      <c r="D21" s="13"/>
      <c r="E21" s="13"/>
      <c r="F21" s="14"/>
      <c r="G21" s="112"/>
      <c r="H21" s="64"/>
      <c r="I21" s="64"/>
      <c r="J21" s="64"/>
      <c r="K21" s="3"/>
      <c r="L21" s="3"/>
      <c r="M21" s="3"/>
      <c r="N21" s="20"/>
      <c r="O21" s="20"/>
      <c r="P21" s="20"/>
      <c r="Q21" s="20"/>
      <c r="R21" s="20"/>
      <c r="S21" s="20"/>
      <c r="T21" s="20"/>
      <c r="U21" s="63"/>
      <c r="V21" s="63"/>
      <c r="W21" s="87"/>
      <c r="X21" s="87"/>
      <c r="Y21" s="63"/>
      <c r="Z21" s="63"/>
      <c r="AA21" s="20"/>
      <c r="AB21" s="20"/>
      <c r="AC21" s="124"/>
      <c r="AD21" s="56"/>
      <c r="AE21" s="63"/>
      <c r="AF21" s="56"/>
      <c r="AG21" s="20"/>
      <c r="AH21" s="20"/>
      <c r="AI21" s="150"/>
      <c r="AJ21" s="87"/>
      <c r="AS21" s="77"/>
      <c r="AT21" s="63"/>
      <c r="BK21" s="1"/>
      <c r="BL21" s="70"/>
      <c r="BM21" s="2"/>
      <c r="BN21" s="70"/>
      <c r="BO21" s="77"/>
      <c r="BP21" s="87"/>
      <c r="BQ21" s="77"/>
      <c r="BR21" s="63"/>
      <c r="BS21" s="87"/>
      <c r="BT21" s="63"/>
      <c r="BU21" s="77"/>
      <c r="BV21" s="56"/>
      <c r="BX21" s="55"/>
      <c r="CA21" s="6"/>
      <c r="CB21" s="87"/>
      <c r="CC21" s="77"/>
      <c r="CD21" s="63"/>
    </row>
    <row r="22" spans="1:82" ht="21" x14ac:dyDescent="0.3">
      <c r="A22" s="13"/>
      <c r="B22" s="13"/>
      <c r="C22" s="13"/>
      <c r="D22" s="13"/>
      <c r="E22" s="13"/>
      <c r="F22" s="14"/>
      <c r="G22" s="112"/>
      <c r="H22" s="64"/>
      <c r="I22" s="64"/>
      <c r="J22" s="64"/>
      <c r="K22" s="3"/>
      <c r="L22" s="3"/>
      <c r="M22" s="3"/>
      <c r="N22" s="20"/>
      <c r="O22" s="20"/>
      <c r="P22" s="20"/>
      <c r="Q22" s="20"/>
      <c r="R22" s="20"/>
      <c r="S22" s="20"/>
      <c r="T22" s="20"/>
      <c r="U22" s="63"/>
      <c r="V22" s="63"/>
      <c r="W22" s="63"/>
      <c r="X22" s="63"/>
      <c r="Y22" s="63"/>
      <c r="Z22" s="63"/>
      <c r="AA22" s="20"/>
      <c r="AB22" s="20"/>
      <c r="AC22" s="124"/>
      <c r="AD22" s="56"/>
      <c r="AE22" s="63"/>
      <c r="AF22" s="56"/>
      <c r="AG22" s="20"/>
      <c r="AH22" s="20"/>
      <c r="AI22" s="150"/>
      <c r="AJ22" s="87"/>
      <c r="AS22" s="77"/>
      <c r="AT22" s="63"/>
      <c r="BK22" s="1"/>
      <c r="BL22" s="70"/>
      <c r="BM22" s="2"/>
      <c r="BN22" s="70"/>
      <c r="BO22" s="77"/>
      <c r="BP22" s="87"/>
      <c r="BQ22" s="77"/>
      <c r="BR22" s="63"/>
      <c r="BS22" s="87"/>
      <c r="BT22" s="63"/>
      <c r="BU22" s="77"/>
      <c r="BV22" s="56"/>
      <c r="BX22" s="55"/>
      <c r="CA22" s="6"/>
      <c r="CB22" s="87"/>
      <c r="CC22" s="77"/>
      <c r="CD22" s="63"/>
    </row>
    <row r="23" spans="1:82" ht="21" x14ac:dyDescent="0.3">
      <c r="A23" s="13"/>
      <c r="B23" s="13"/>
      <c r="C23" s="13"/>
      <c r="D23" s="13"/>
      <c r="E23" s="13"/>
      <c r="F23" s="14"/>
      <c r="G23" s="112"/>
      <c r="H23" s="64"/>
      <c r="I23" s="64"/>
      <c r="J23" s="64"/>
      <c r="K23" s="3"/>
      <c r="L23" s="3"/>
      <c r="M23" s="3"/>
      <c r="N23" s="20"/>
      <c r="O23" s="20"/>
      <c r="P23" s="20"/>
      <c r="Q23" s="20"/>
      <c r="R23" s="20"/>
      <c r="S23" s="55"/>
      <c r="T23" s="55"/>
      <c r="U23" s="63"/>
      <c r="V23" s="63"/>
      <c r="W23" s="63"/>
      <c r="X23" s="63"/>
      <c r="Y23" s="63"/>
      <c r="Z23" s="63"/>
      <c r="AA23" s="56"/>
      <c r="AB23" s="56"/>
      <c r="AC23" s="124"/>
      <c r="AD23" s="56"/>
      <c r="AE23" s="63"/>
      <c r="AF23" s="56"/>
      <c r="AG23" s="56"/>
      <c r="AH23" s="56"/>
      <c r="AI23" s="150"/>
      <c r="AJ23" s="87"/>
      <c r="AS23" s="77"/>
      <c r="AT23" s="63"/>
      <c r="BK23" s="1"/>
      <c r="BL23" s="70"/>
      <c r="BM23" s="2"/>
      <c r="BN23" s="93"/>
      <c r="BO23" s="77"/>
      <c r="BP23" s="87"/>
      <c r="BQ23" s="77"/>
      <c r="BR23" s="63"/>
      <c r="BS23" s="87"/>
      <c r="BT23" s="63"/>
      <c r="BU23" s="77"/>
      <c r="BV23" s="56"/>
      <c r="BX23" s="55"/>
      <c r="CA23" s="6"/>
      <c r="CB23" s="87"/>
      <c r="CC23" s="77"/>
      <c r="CD23" s="63"/>
    </row>
    <row r="24" spans="1:82" ht="21" x14ac:dyDescent="0.3">
      <c r="A24" s="13"/>
      <c r="B24" s="13"/>
      <c r="C24" s="13"/>
      <c r="D24" s="13"/>
      <c r="E24" s="13"/>
      <c r="F24" s="14"/>
      <c r="G24" s="112"/>
      <c r="H24" s="64"/>
      <c r="I24" s="64"/>
      <c r="J24" s="64"/>
      <c r="K24" s="3"/>
      <c r="L24" s="3"/>
      <c r="M24" s="3"/>
      <c r="N24" s="20"/>
      <c r="O24" s="20"/>
      <c r="P24" s="20"/>
      <c r="Q24" s="20"/>
      <c r="R24" s="20"/>
      <c r="S24" s="55"/>
      <c r="T24" s="55"/>
      <c r="U24" s="63"/>
      <c r="V24" s="63"/>
      <c r="W24" s="63"/>
      <c r="X24" s="63"/>
      <c r="Y24" s="63"/>
      <c r="Z24" s="63"/>
      <c r="AA24" s="56"/>
      <c r="AB24" s="56"/>
      <c r="AC24" s="124"/>
      <c r="AD24" s="56"/>
      <c r="AE24" s="63"/>
      <c r="AF24" s="56"/>
      <c r="AG24" s="56"/>
      <c r="AH24" s="56"/>
      <c r="AI24" s="150"/>
      <c r="AJ24" s="87"/>
      <c r="AS24" s="77"/>
      <c r="AT24" s="63"/>
      <c r="BK24" s="1"/>
      <c r="BL24" s="70"/>
      <c r="BM24" s="2"/>
      <c r="BN24" s="70"/>
      <c r="BO24" s="77"/>
      <c r="BP24" s="87"/>
      <c r="BQ24" s="77"/>
      <c r="BR24" s="63"/>
      <c r="BS24" s="87"/>
      <c r="BT24" s="63"/>
      <c r="BU24" s="77"/>
      <c r="BV24" s="56"/>
      <c r="BX24" s="55"/>
      <c r="CA24" s="6"/>
      <c r="CB24" s="87"/>
      <c r="CC24" s="77"/>
      <c r="CD24" s="63"/>
    </row>
    <row r="25" spans="1:82" ht="21" x14ac:dyDescent="0.3">
      <c r="A25" s="13"/>
      <c r="B25" s="13"/>
      <c r="C25" s="13"/>
      <c r="D25" s="13"/>
      <c r="E25" s="13"/>
      <c r="F25" s="14"/>
      <c r="G25" s="112"/>
      <c r="H25" s="64"/>
      <c r="I25" s="64"/>
      <c r="J25" s="64"/>
      <c r="K25" s="3"/>
      <c r="L25" s="3"/>
      <c r="M25" s="3"/>
      <c r="N25" s="20"/>
      <c r="O25" s="20"/>
      <c r="P25" s="20"/>
      <c r="Q25" s="55"/>
      <c r="R25" s="55"/>
      <c r="S25" s="55"/>
      <c r="T25" s="55"/>
      <c r="U25" s="63"/>
      <c r="V25" s="63"/>
      <c r="W25" s="63"/>
      <c r="X25" s="63"/>
      <c r="Y25" s="63"/>
      <c r="Z25" s="63"/>
      <c r="AA25" s="56"/>
      <c r="AB25" s="56"/>
      <c r="AC25" s="156"/>
      <c r="AD25" s="55"/>
      <c r="AE25" s="63"/>
      <c r="AF25" s="56"/>
      <c r="AG25" s="56"/>
      <c r="AH25" s="56"/>
      <c r="AI25" s="150"/>
      <c r="AJ25" s="87"/>
      <c r="AS25" s="77"/>
      <c r="AT25" s="63"/>
      <c r="BK25" s="1"/>
      <c r="BL25" s="70"/>
      <c r="BM25" s="2"/>
      <c r="BN25" s="70"/>
      <c r="BO25" s="77"/>
      <c r="BP25" s="87"/>
      <c r="BQ25" s="77"/>
      <c r="BR25" s="63"/>
      <c r="BS25" s="87"/>
      <c r="BT25" s="63"/>
      <c r="BU25" s="77"/>
      <c r="BV25" s="56"/>
      <c r="BX25" s="55"/>
      <c r="CA25" s="6"/>
      <c r="CB25" s="87"/>
      <c r="CC25" s="77"/>
      <c r="CD25" s="63"/>
    </row>
    <row r="26" spans="1:82" ht="21" x14ac:dyDescent="0.3">
      <c r="A26" s="13"/>
      <c r="B26" s="13"/>
      <c r="C26" s="13"/>
      <c r="D26" s="13"/>
      <c r="E26" s="13"/>
      <c r="F26" s="14"/>
      <c r="G26" s="112"/>
      <c r="H26" s="64"/>
      <c r="I26" s="56"/>
      <c r="J26" s="56"/>
      <c r="K26" s="3"/>
      <c r="L26" s="3"/>
      <c r="M26" s="3"/>
      <c r="N26" s="20"/>
      <c r="O26" s="20"/>
      <c r="P26" s="20"/>
      <c r="Q26" s="55"/>
      <c r="R26" s="55"/>
      <c r="S26" s="55"/>
      <c r="T26" s="55"/>
      <c r="U26" s="63"/>
      <c r="V26" s="63"/>
      <c r="W26" s="63"/>
      <c r="X26" s="63"/>
      <c r="Z26" s="55"/>
      <c r="AA26" s="56"/>
      <c r="AB26" s="56"/>
      <c r="AC26" s="156"/>
      <c r="AD26" s="55"/>
      <c r="AE26" s="63"/>
      <c r="AF26" s="56"/>
      <c r="AG26" s="56"/>
      <c r="AH26" s="56"/>
      <c r="AI26" s="150"/>
      <c r="AJ26" s="87"/>
      <c r="AS26" s="77"/>
      <c r="AT26" s="63"/>
      <c r="BK26" s="1"/>
      <c r="BL26" s="70"/>
      <c r="BM26" s="2"/>
      <c r="BN26" s="70"/>
      <c r="BO26" s="77"/>
      <c r="BP26" s="87"/>
      <c r="BQ26" s="77"/>
      <c r="BR26" s="63"/>
      <c r="BS26" s="87"/>
      <c r="BT26" s="63"/>
      <c r="BU26" s="77"/>
      <c r="BV26" s="56"/>
      <c r="BX26" s="55"/>
      <c r="CA26" s="6"/>
      <c r="CB26" s="87"/>
      <c r="CC26" s="77"/>
      <c r="CD26" s="63"/>
    </row>
    <row r="27" spans="1:82" ht="21" x14ac:dyDescent="0.3">
      <c r="A27" s="13"/>
      <c r="B27" s="13"/>
      <c r="C27" s="13"/>
      <c r="D27" s="13"/>
      <c r="E27" s="13"/>
      <c r="F27" s="14"/>
      <c r="G27" s="112"/>
      <c r="H27" s="64"/>
      <c r="I27" s="56"/>
      <c r="J27" s="56"/>
      <c r="N27" s="55"/>
      <c r="O27" s="55"/>
      <c r="P27" s="55"/>
      <c r="Q27" s="55"/>
      <c r="R27" s="55"/>
      <c r="S27" s="55"/>
      <c r="T27" s="55"/>
      <c r="U27" s="63"/>
      <c r="V27" s="63"/>
      <c r="W27" s="63"/>
      <c r="X27" s="63"/>
      <c r="Z27" s="55"/>
      <c r="AA27" s="56"/>
      <c r="AB27" s="56"/>
      <c r="AC27" s="156"/>
      <c r="AD27" s="55"/>
      <c r="AE27" s="77"/>
      <c r="AF27" s="55"/>
      <c r="AG27" s="56"/>
      <c r="AH27" s="56"/>
      <c r="AI27" s="150"/>
      <c r="AJ27" s="87"/>
      <c r="AS27" s="77"/>
      <c r="AT27" s="63"/>
      <c r="BK27" s="1"/>
      <c r="BL27" s="70"/>
      <c r="BM27" s="2"/>
      <c r="BN27" s="70"/>
      <c r="BO27" s="77"/>
      <c r="BP27" s="87"/>
      <c r="BQ27" s="77"/>
      <c r="BR27" s="63"/>
      <c r="BS27" s="87"/>
      <c r="BT27" s="63"/>
      <c r="BU27" s="77"/>
      <c r="BV27" s="56"/>
      <c r="BX27" s="55"/>
      <c r="CA27" s="6"/>
      <c r="CB27" s="87"/>
      <c r="CC27" s="77"/>
      <c r="CD27" s="63"/>
    </row>
    <row r="28" spans="1:82" ht="21" x14ac:dyDescent="0.3">
      <c r="A28" s="13"/>
      <c r="B28" s="13"/>
      <c r="C28" s="13"/>
      <c r="D28" s="13"/>
      <c r="E28" s="13"/>
      <c r="F28" s="14"/>
      <c r="G28" s="112"/>
      <c r="H28" s="64"/>
      <c r="J28" s="55"/>
      <c r="N28" s="55"/>
      <c r="O28" s="55"/>
      <c r="P28" s="55"/>
      <c r="Q28" s="55"/>
      <c r="R28" s="55"/>
      <c r="S28" s="55"/>
      <c r="T28" s="55"/>
      <c r="U28" s="63"/>
      <c r="V28" s="63"/>
      <c r="W28" s="77"/>
      <c r="X28" s="63"/>
      <c r="Z28" s="55"/>
      <c r="AA28" s="56"/>
      <c r="AB28" s="56"/>
      <c r="AC28" s="156"/>
      <c r="AD28" s="55"/>
      <c r="AE28" s="77"/>
      <c r="AF28" s="55"/>
      <c r="AG28" s="56"/>
      <c r="AH28" s="56"/>
      <c r="AI28" s="150"/>
      <c r="AJ28" s="87"/>
      <c r="AS28" s="77"/>
      <c r="AT28" s="63"/>
      <c r="BK28" s="1"/>
      <c r="BL28" s="70"/>
      <c r="BM28" s="2"/>
      <c r="BN28" s="70"/>
      <c r="BO28" s="77"/>
      <c r="BP28" s="87"/>
      <c r="BQ28" s="77"/>
      <c r="BR28" s="63"/>
      <c r="BS28" s="87">
        <v>0.83492299999999997</v>
      </c>
      <c r="BT28" s="63">
        <v>5.3284999999999997E-10</v>
      </c>
      <c r="BU28" s="77"/>
      <c r="BV28" s="56"/>
      <c r="BX28" s="55"/>
      <c r="CA28" s="6"/>
      <c r="CB28" s="87"/>
      <c r="CC28" s="77"/>
      <c r="CD28" s="63"/>
    </row>
    <row r="29" spans="1:82" ht="21" x14ac:dyDescent="0.3">
      <c r="A29" s="13"/>
      <c r="B29" s="13"/>
      <c r="C29" s="15"/>
      <c r="D29" s="15"/>
      <c r="E29" s="13"/>
      <c r="F29" s="14"/>
      <c r="G29" s="1"/>
      <c r="H29" s="56"/>
      <c r="J29" s="55"/>
      <c r="N29" s="55"/>
      <c r="O29" s="55"/>
      <c r="P29" s="55"/>
      <c r="Q29" s="55"/>
      <c r="R29" s="55"/>
      <c r="T29" s="55"/>
      <c r="U29" s="77"/>
      <c r="V29" s="63"/>
      <c r="W29" s="77"/>
      <c r="X29" s="63"/>
      <c r="Z29" s="55"/>
      <c r="AC29" s="156"/>
      <c r="AD29" s="55"/>
      <c r="AE29" s="77"/>
      <c r="AF29" s="55"/>
      <c r="AI29" s="150"/>
      <c r="AJ29" s="87"/>
      <c r="AS29" s="77"/>
      <c r="AT29" s="63"/>
      <c r="BK29" s="1"/>
      <c r="BL29" s="70"/>
      <c r="BM29" s="2"/>
      <c r="BN29" s="70"/>
      <c r="BO29" s="77"/>
      <c r="BP29" s="87"/>
      <c r="BQ29" s="77"/>
      <c r="BR29" s="63"/>
      <c r="BS29" s="87">
        <v>0.92259999999999998</v>
      </c>
      <c r="BT29" s="63">
        <v>4.8419199999999998E-10</v>
      </c>
      <c r="BU29" s="77"/>
      <c r="BV29" s="56"/>
      <c r="BX29" s="55"/>
      <c r="CA29" s="6"/>
      <c r="CB29" s="87"/>
      <c r="CC29" s="77"/>
      <c r="CD29" s="63"/>
    </row>
    <row r="30" spans="1:82" ht="21" x14ac:dyDescent="0.3">
      <c r="A30" s="13"/>
      <c r="B30" s="13"/>
      <c r="E30" s="18"/>
      <c r="F30" s="19"/>
      <c r="G30" s="1"/>
      <c r="H30" s="56"/>
      <c r="N30" s="55"/>
      <c r="O30" s="55"/>
      <c r="P30" s="55"/>
      <c r="R30" s="55"/>
      <c r="T30" s="55"/>
      <c r="U30" s="77"/>
      <c r="V30" s="63"/>
      <c r="Z30" s="55"/>
      <c r="AD30" s="55"/>
      <c r="AE30" s="77"/>
      <c r="AF30" s="55"/>
      <c r="AI30" s="150"/>
      <c r="AJ30" s="87"/>
      <c r="AS30" s="77"/>
      <c r="AT30" s="63"/>
      <c r="BK30" s="1"/>
      <c r="BL30" s="70"/>
      <c r="BM30" s="2"/>
      <c r="BN30" s="70"/>
      <c r="BO30" s="77"/>
      <c r="BP30" s="87"/>
      <c r="BQ30" s="77"/>
      <c r="BR30" s="63"/>
      <c r="BS30" s="6">
        <v>1</v>
      </c>
      <c r="BT30" s="63">
        <v>4.4656200000000002E-10</v>
      </c>
      <c r="BU30" s="77"/>
      <c r="BV30" s="56"/>
      <c r="BX30" s="55"/>
      <c r="CA30" s="6"/>
      <c r="CB30" s="87"/>
      <c r="CC30" s="77"/>
      <c r="CD30" s="63"/>
    </row>
    <row r="31" spans="1:82" ht="18.75" x14ac:dyDescent="0.3">
      <c r="A31" s="15"/>
      <c r="B31" s="15"/>
      <c r="E31" s="15"/>
      <c r="F31" s="15"/>
      <c r="N31" s="55"/>
      <c r="O31" s="55"/>
      <c r="P31" s="55"/>
      <c r="T31" s="55"/>
      <c r="U31" s="77"/>
      <c r="V31" s="63"/>
      <c r="Z31" s="55"/>
      <c r="AD31" s="55"/>
      <c r="AE31" s="77"/>
      <c r="AF31" s="55"/>
      <c r="BL31" s="70"/>
      <c r="BM31" s="2"/>
      <c r="BN31" s="70"/>
      <c r="BP31" s="87"/>
      <c r="BQ31" s="77"/>
      <c r="BR31" s="63"/>
      <c r="BU31" s="77"/>
      <c r="BV31" s="56"/>
      <c r="CA31" s="6"/>
      <c r="CB31" s="87"/>
      <c r="CC31" s="77"/>
      <c r="CD31" s="63"/>
    </row>
    <row r="32" spans="1:82" x14ac:dyDescent="0.25">
      <c r="E32" s="15"/>
      <c r="F32" s="15"/>
      <c r="T32" s="55"/>
      <c r="BM32" s="2"/>
      <c r="BN32" s="70"/>
    </row>
    <row r="33" spans="20:20" x14ac:dyDescent="0.25">
      <c r="T33" s="55"/>
    </row>
    <row r="34" spans="20:20" x14ac:dyDescent="0.25">
      <c r="T34" s="55"/>
    </row>
  </sheetData>
  <mergeCells count="45">
    <mergeCell ref="S2:AJ2"/>
    <mergeCell ref="Q3:R3"/>
    <mergeCell ref="S3:T3"/>
    <mergeCell ref="U3:V3"/>
    <mergeCell ref="BI3:BJ3"/>
    <mergeCell ref="BC2:BP2"/>
    <mergeCell ref="AU3:AV3"/>
    <mergeCell ref="BM3:BN3"/>
    <mergeCell ref="BK18:BL18"/>
    <mergeCell ref="BE3:BF3"/>
    <mergeCell ref="BO3:BP3"/>
    <mergeCell ref="BQ2:BX2"/>
    <mergeCell ref="C3:D3"/>
    <mergeCell ref="O3:P3"/>
    <mergeCell ref="BK3:BL3"/>
    <mergeCell ref="BG3:BH3"/>
    <mergeCell ref="AA3:AB3"/>
    <mergeCell ref="W3:X3"/>
    <mergeCell ref="I3:J3"/>
    <mergeCell ref="AQ3:AR3"/>
    <mergeCell ref="AS3:AT3"/>
    <mergeCell ref="AW3:AX3"/>
    <mergeCell ref="AY3:AZ3"/>
    <mergeCell ref="BA3:BB3"/>
    <mergeCell ref="BC3:BD3"/>
    <mergeCell ref="Y3:Z3"/>
    <mergeCell ref="AE3:AF3"/>
    <mergeCell ref="AC3:AD3"/>
    <mergeCell ref="AG3:AH3"/>
    <mergeCell ref="AO3:AP3"/>
    <mergeCell ref="A1:AV1"/>
    <mergeCell ref="A12:B18"/>
    <mergeCell ref="C16:D18"/>
    <mergeCell ref="E16:F18"/>
    <mergeCell ref="AK3:AL3"/>
    <mergeCell ref="AK17:AL18"/>
    <mergeCell ref="A3:B3"/>
    <mergeCell ref="E3:F3"/>
    <mergeCell ref="G3:H3"/>
    <mergeCell ref="K3:L3"/>
    <mergeCell ref="AK2:AV2"/>
    <mergeCell ref="AI3:AJ3"/>
    <mergeCell ref="AM3:AN3"/>
    <mergeCell ref="M3:N3"/>
    <mergeCell ref="A2:O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4"/>
  <sheetViews>
    <sheetView topLeftCell="E1" workbookViewId="0">
      <selection activeCell="N20" sqref="N20"/>
    </sheetView>
  </sheetViews>
  <sheetFormatPr defaultRowHeight="15" x14ac:dyDescent="0.25"/>
  <cols>
    <col min="1" max="1" width="10.7109375" customWidth="1"/>
    <col min="2" max="2" width="15.42578125" customWidth="1"/>
    <col min="3" max="3" width="18.28515625" customWidth="1"/>
    <col min="4" max="4" width="22.85546875" customWidth="1"/>
    <col min="5" max="5" width="18.85546875" customWidth="1"/>
    <col min="6" max="6" width="12.7109375" customWidth="1"/>
    <col min="7" max="7" width="11.140625" customWidth="1"/>
    <col min="8" max="8" width="18.28515625" customWidth="1"/>
    <col min="9" max="9" width="17.42578125" customWidth="1"/>
    <col min="10" max="10" width="25.85546875" customWidth="1"/>
    <col min="11" max="11" width="20.85546875" customWidth="1"/>
    <col min="12" max="12" width="13.140625" customWidth="1"/>
    <col min="13" max="13" width="12" customWidth="1"/>
    <col min="14" max="14" width="16.140625" customWidth="1"/>
    <col min="15" max="17" width="18.5703125" customWidth="1"/>
    <col min="18" max="18" width="20" customWidth="1"/>
    <col min="19" max="19" width="7.7109375" customWidth="1"/>
    <col min="20" max="20" width="14.42578125" customWidth="1"/>
    <col min="21" max="21" width="17.7109375" customWidth="1"/>
    <col min="22" max="22" width="19.28515625" customWidth="1"/>
    <col min="23" max="23" width="21.28515625" customWidth="1"/>
    <col min="24" max="24" width="20.5703125" customWidth="1"/>
    <col min="25" max="25" width="17.85546875" customWidth="1"/>
  </cols>
  <sheetData>
    <row r="1" spans="1:25" ht="31.5" customHeight="1" thickBot="1" x14ac:dyDescent="0.3">
      <c r="A1" s="281" t="s">
        <v>54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</row>
    <row r="2" spans="1:25" ht="27.75" customHeight="1" x14ac:dyDescent="0.35">
      <c r="A2" s="288" t="s">
        <v>14</v>
      </c>
      <c r="B2" s="288"/>
      <c r="C2" s="288"/>
      <c r="D2" s="288"/>
      <c r="E2" s="288"/>
      <c r="F2" s="288"/>
      <c r="G2" s="289" t="s">
        <v>15</v>
      </c>
      <c r="H2" s="290"/>
      <c r="I2" s="290"/>
      <c r="J2" s="290"/>
      <c r="K2" s="290"/>
      <c r="L2" s="291"/>
      <c r="M2" s="278" t="s">
        <v>13</v>
      </c>
      <c r="N2" s="279"/>
      <c r="O2" s="279"/>
      <c r="P2" s="279"/>
      <c r="Q2" s="279"/>
      <c r="R2" s="279"/>
      <c r="S2" s="280"/>
      <c r="T2" s="282" t="s">
        <v>37</v>
      </c>
      <c r="U2" s="283"/>
      <c r="V2" s="283"/>
      <c r="W2" s="283"/>
      <c r="X2" s="283"/>
      <c r="Y2" s="284"/>
    </row>
    <row r="3" spans="1:25" ht="75" x14ac:dyDescent="0.35">
      <c r="A3" s="24" t="s">
        <v>0</v>
      </c>
      <c r="B3" s="23" t="s">
        <v>1</v>
      </c>
      <c r="C3" s="23" t="s">
        <v>50</v>
      </c>
      <c r="D3" s="23" t="s">
        <v>31</v>
      </c>
      <c r="E3" s="24" t="s">
        <v>3</v>
      </c>
      <c r="F3" s="23" t="s">
        <v>4</v>
      </c>
      <c r="G3" s="35" t="s">
        <v>0</v>
      </c>
      <c r="H3" s="23" t="s">
        <v>1</v>
      </c>
      <c r="I3" s="23" t="s">
        <v>49</v>
      </c>
      <c r="J3" s="23" t="s">
        <v>31</v>
      </c>
      <c r="K3" s="24" t="s">
        <v>3</v>
      </c>
      <c r="L3" s="25" t="s">
        <v>4</v>
      </c>
      <c r="M3" s="22" t="s">
        <v>0</v>
      </c>
      <c r="N3" s="23" t="s">
        <v>1</v>
      </c>
      <c r="O3" s="23" t="s">
        <v>2</v>
      </c>
      <c r="P3" s="23" t="s">
        <v>49</v>
      </c>
      <c r="Q3" s="23" t="s">
        <v>31</v>
      </c>
      <c r="R3" s="24" t="s">
        <v>3</v>
      </c>
      <c r="S3" s="25" t="s">
        <v>4</v>
      </c>
      <c r="T3" s="137" t="s">
        <v>0</v>
      </c>
      <c r="U3" s="138" t="s">
        <v>1</v>
      </c>
      <c r="V3" s="23" t="s">
        <v>49</v>
      </c>
      <c r="W3" s="138" t="s">
        <v>31</v>
      </c>
      <c r="X3" s="139" t="s">
        <v>3</v>
      </c>
      <c r="Y3" s="140" t="s">
        <v>4</v>
      </c>
    </row>
    <row r="4" spans="1:25" ht="20.25" x14ac:dyDescent="0.3">
      <c r="A4" s="233"/>
      <c r="B4" s="233"/>
      <c r="C4" s="177"/>
      <c r="D4" s="177"/>
      <c r="E4" s="232"/>
      <c r="F4" s="118"/>
      <c r="G4" s="233">
        <v>3</v>
      </c>
      <c r="H4" s="233"/>
      <c r="I4" s="241"/>
      <c r="J4" s="241"/>
      <c r="K4" s="241"/>
      <c r="L4" s="237"/>
      <c r="M4" s="233"/>
      <c r="N4" s="233"/>
      <c r="O4" s="233"/>
      <c r="P4" s="241"/>
      <c r="Q4" s="241"/>
      <c r="R4" s="241"/>
      <c r="S4" s="236"/>
      <c r="T4" s="244">
        <v>4</v>
      </c>
      <c r="U4" s="244"/>
      <c r="V4" s="244">
        <v>5.3E-3</v>
      </c>
      <c r="W4" s="245">
        <v>2.3837000000000001E-4</v>
      </c>
      <c r="X4" s="245">
        <v>2.6996999999999999E-5</v>
      </c>
      <c r="Y4" s="123"/>
    </row>
    <row r="5" spans="1:25" ht="20.25" x14ac:dyDescent="0.3">
      <c r="A5" s="233"/>
      <c r="B5" s="233"/>
      <c r="C5" s="177"/>
      <c r="D5" s="177"/>
      <c r="E5" s="232"/>
      <c r="F5" s="118"/>
      <c r="G5" s="233">
        <v>4</v>
      </c>
      <c r="H5" s="233"/>
      <c r="I5" s="241"/>
      <c r="J5" s="241"/>
      <c r="K5" s="241"/>
      <c r="L5" s="237"/>
      <c r="M5" s="233"/>
      <c r="N5" s="233"/>
      <c r="O5" s="233"/>
      <c r="P5" s="241"/>
      <c r="Q5" s="241"/>
      <c r="R5" s="242"/>
      <c r="S5" s="236"/>
      <c r="T5" s="233">
        <v>5</v>
      </c>
      <c r="U5" s="233"/>
      <c r="V5" s="246"/>
      <c r="W5" s="247"/>
      <c r="X5" s="248"/>
      <c r="Y5" s="123"/>
    </row>
    <row r="6" spans="1:25" ht="20.25" x14ac:dyDescent="0.3">
      <c r="A6" s="233"/>
      <c r="B6" s="233"/>
      <c r="C6" s="177"/>
      <c r="D6" s="177"/>
      <c r="E6" s="232"/>
      <c r="F6" s="118"/>
      <c r="G6" s="233">
        <v>5</v>
      </c>
      <c r="H6" s="233">
        <v>0.217</v>
      </c>
      <c r="I6" s="233">
        <v>6.1999999999999998E-3</v>
      </c>
      <c r="J6" s="241">
        <v>1.3229999999999999E-4</v>
      </c>
      <c r="K6" s="241">
        <v>1.3685E-5</v>
      </c>
      <c r="L6" s="237"/>
      <c r="M6" s="233">
        <v>5</v>
      </c>
      <c r="N6" s="233"/>
      <c r="O6" s="233"/>
      <c r="P6" s="241"/>
      <c r="Q6" s="241"/>
      <c r="R6" s="241"/>
      <c r="S6" s="236"/>
      <c r="T6" s="244"/>
      <c r="U6" s="244"/>
      <c r="V6" s="244"/>
      <c r="W6" s="245"/>
      <c r="X6" s="245"/>
      <c r="Y6" s="123"/>
    </row>
    <row r="7" spans="1:25" ht="20.25" x14ac:dyDescent="0.3">
      <c r="A7" s="233"/>
      <c r="B7" s="233"/>
      <c r="C7" s="177"/>
      <c r="D7" s="177"/>
      <c r="E7" s="232"/>
      <c r="F7" s="118"/>
      <c r="G7" s="233">
        <v>6</v>
      </c>
      <c r="H7" s="233">
        <v>0.16800000000000001</v>
      </c>
      <c r="I7" s="241"/>
      <c r="J7" s="241"/>
      <c r="K7" s="241">
        <v>1.9360000000000001E-5</v>
      </c>
      <c r="L7" s="237"/>
      <c r="M7" s="233">
        <v>6</v>
      </c>
      <c r="N7" s="233"/>
      <c r="O7" s="233"/>
      <c r="P7" s="241"/>
      <c r="Q7" s="241"/>
      <c r="R7" s="241">
        <v>2.7517000000000001E-5</v>
      </c>
      <c r="S7" s="236"/>
      <c r="T7" s="244"/>
      <c r="U7" s="244"/>
      <c r="V7" s="244"/>
      <c r="W7" s="244"/>
      <c r="X7" s="244"/>
      <c r="Y7" s="123"/>
    </row>
    <row r="8" spans="1:25" ht="20.25" x14ac:dyDescent="0.3">
      <c r="A8" s="233"/>
      <c r="B8" s="233"/>
      <c r="C8" s="177"/>
      <c r="D8" s="177"/>
      <c r="E8" s="153"/>
      <c r="F8" s="118"/>
      <c r="G8" s="233">
        <v>7</v>
      </c>
      <c r="H8" s="233">
        <v>0.13150000000000001</v>
      </c>
      <c r="I8" s="241"/>
      <c r="J8" s="241"/>
      <c r="K8" s="241">
        <v>2.4853000000000001E-5</v>
      </c>
      <c r="L8" s="237"/>
      <c r="M8" s="233">
        <v>7</v>
      </c>
      <c r="N8" s="233"/>
      <c r="O8" s="233"/>
      <c r="P8" s="241"/>
      <c r="Q8" s="233"/>
      <c r="R8" s="233"/>
      <c r="S8" s="236"/>
      <c r="T8" s="249"/>
      <c r="U8" s="249"/>
      <c r="V8" s="249"/>
      <c r="W8" s="249"/>
      <c r="X8" s="249"/>
      <c r="Y8" s="123"/>
    </row>
    <row r="9" spans="1:25" ht="20.25" x14ac:dyDescent="0.3">
      <c r="A9" s="233"/>
      <c r="B9" s="233"/>
      <c r="C9" s="177"/>
      <c r="D9" s="177"/>
      <c r="E9" s="232"/>
      <c r="F9" s="4"/>
      <c r="G9" s="233">
        <v>8</v>
      </c>
      <c r="H9" s="233">
        <v>0.10299999999999999</v>
      </c>
      <c r="I9" s="233"/>
      <c r="J9" s="241"/>
      <c r="K9" s="241">
        <v>3.0261E-5</v>
      </c>
      <c r="L9" s="15"/>
      <c r="M9" s="244">
        <v>8</v>
      </c>
      <c r="N9" s="259"/>
      <c r="O9" s="259"/>
      <c r="P9" s="260">
        <v>6.1000000000000004E-3</v>
      </c>
      <c r="Q9" s="182">
        <v>3.0239999999999998E-4</v>
      </c>
      <c r="R9" s="232">
        <v>3.7035E-5</v>
      </c>
    </row>
    <row r="10" spans="1:25" ht="21" x14ac:dyDescent="0.35">
      <c r="A10" s="168">
        <v>11</v>
      </c>
      <c r="B10" s="168"/>
      <c r="C10" s="243">
        <v>5.8999999999999999E-3</v>
      </c>
      <c r="D10" s="165">
        <v>3.1687000000000002E-4</v>
      </c>
      <c r="E10" s="167">
        <v>2.1376E-5</v>
      </c>
      <c r="G10" s="233">
        <v>9</v>
      </c>
      <c r="H10" s="233">
        <v>8.1500000000000003E-2</v>
      </c>
      <c r="I10" s="233">
        <v>1.67E-2</v>
      </c>
      <c r="J10" s="241">
        <v>2.8321999999999999E-4</v>
      </c>
      <c r="K10" s="241">
        <v>3.5162E-5</v>
      </c>
      <c r="L10" s="15"/>
      <c r="M10" s="233">
        <v>9</v>
      </c>
      <c r="N10" s="259"/>
      <c r="O10" s="259"/>
      <c r="P10" s="241"/>
      <c r="Q10" s="259"/>
      <c r="R10" s="241">
        <v>3.6257000000000002E-5</v>
      </c>
    </row>
    <row r="11" spans="1:25" ht="21" x14ac:dyDescent="0.35">
      <c r="A11" s="168">
        <v>12</v>
      </c>
      <c r="B11" s="168"/>
      <c r="C11" s="168"/>
      <c r="D11" s="168"/>
      <c r="E11" s="168"/>
      <c r="G11" s="233">
        <v>10</v>
      </c>
      <c r="H11" s="233">
        <v>6.4149999999999999E-2</v>
      </c>
      <c r="I11" s="231">
        <v>6.6E-3</v>
      </c>
      <c r="J11" s="177">
        <v>3.4172E-4</v>
      </c>
      <c r="K11" s="232">
        <v>3.9107999999999999E-5</v>
      </c>
      <c r="L11" s="15"/>
      <c r="M11" s="259"/>
      <c r="N11" s="259"/>
      <c r="O11" s="259"/>
      <c r="P11" s="241"/>
      <c r="Q11" s="259"/>
      <c r="R11" s="259"/>
    </row>
    <row r="12" spans="1:25" ht="21" x14ac:dyDescent="0.35">
      <c r="A12" s="168">
        <v>13</v>
      </c>
      <c r="B12" s="168"/>
      <c r="C12" s="243">
        <v>7.1999999999999998E-3</v>
      </c>
      <c r="D12" s="167">
        <v>4.2236999999999998E-4</v>
      </c>
      <c r="E12" s="167">
        <v>4.3908E-5</v>
      </c>
      <c r="G12" s="246">
        <v>11</v>
      </c>
      <c r="H12" s="173">
        <v>2.75E-2</v>
      </c>
      <c r="I12" s="173"/>
      <c r="J12" s="173"/>
      <c r="K12" s="172">
        <v>3.2023000000000002E-5</v>
      </c>
    </row>
    <row r="13" spans="1:25" ht="21" x14ac:dyDescent="0.35">
      <c r="A13" s="168">
        <v>14</v>
      </c>
      <c r="B13" s="168"/>
      <c r="C13" s="168"/>
      <c r="D13" s="168"/>
      <c r="E13" s="168"/>
    </row>
    <row r="14" spans="1:25" ht="21" x14ac:dyDescent="0.35">
      <c r="A14" s="166"/>
      <c r="B14" s="166"/>
      <c r="C14" s="166"/>
      <c r="D14" s="166"/>
      <c r="E14" s="166"/>
    </row>
  </sheetData>
  <mergeCells count="5">
    <mergeCell ref="A1:S1"/>
    <mergeCell ref="A2:F2"/>
    <mergeCell ref="G2:L2"/>
    <mergeCell ref="M2:S2"/>
    <mergeCell ref="T2:Y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43"/>
  <sheetViews>
    <sheetView tabSelected="1" topLeftCell="A2" workbookViewId="0">
      <selection activeCell="W2" sqref="W2:AN2"/>
    </sheetView>
  </sheetViews>
  <sheetFormatPr defaultRowHeight="15" x14ac:dyDescent="0.25"/>
  <cols>
    <col min="1" max="1" width="16.28515625" customWidth="1"/>
    <col min="2" max="2" width="17.85546875" customWidth="1"/>
    <col min="3" max="3" width="20.5703125" customWidth="1"/>
    <col min="4" max="4" width="21" customWidth="1"/>
    <col min="5" max="5" width="18.7109375" customWidth="1"/>
    <col min="6" max="6" width="19.28515625" customWidth="1"/>
    <col min="7" max="7" width="18.85546875" customWidth="1"/>
    <col min="8" max="8" width="21.7109375" customWidth="1"/>
    <col min="9" max="9" width="23.140625" customWidth="1"/>
    <col min="10" max="10" width="19.7109375" customWidth="1"/>
    <col min="11" max="11" width="19.28515625" customWidth="1"/>
    <col min="12" max="12" width="21.5703125" customWidth="1"/>
    <col min="13" max="13" width="20.140625" customWidth="1"/>
    <col min="14" max="14" width="18.42578125" customWidth="1"/>
    <col min="15" max="15" width="20.5703125" customWidth="1"/>
    <col min="16" max="16" width="24.85546875" customWidth="1"/>
    <col min="17" max="17" width="21.5703125" customWidth="1"/>
    <col min="18" max="22" width="20" customWidth="1"/>
    <col min="23" max="23" width="20.5703125" customWidth="1"/>
    <col min="24" max="24" width="24.85546875" customWidth="1"/>
    <col min="25" max="25" width="23.28515625" customWidth="1"/>
    <col min="26" max="26" width="19.5703125" customWidth="1"/>
    <col min="27" max="27" width="24.7109375" customWidth="1"/>
    <col min="28" max="28" width="22.85546875" customWidth="1"/>
    <col min="41" max="41" width="18.85546875" customWidth="1"/>
    <col min="42" max="42" width="19.5703125" customWidth="1"/>
    <col min="43" max="43" width="20.42578125" customWidth="1"/>
    <col min="44" max="44" width="21.42578125" customWidth="1"/>
    <col min="45" max="45" width="22.42578125" customWidth="1"/>
    <col min="46" max="46" width="21.85546875" customWidth="1"/>
    <col min="47" max="47" width="22.7109375" customWidth="1"/>
    <col min="48" max="48" width="20.5703125" customWidth="1"/>
    <col min="49" max="49" width="23.140625" customWidth="1"/>
    <col min="50" max="50" width="20.28515625" customWidth="1"/>
    <col min="51" max="51" width="22" customWidth="1"/>
    <col min="52" max="54" width="20.28515625" customWidth="1"/>
    <col min="55" max="55" width="20.140625" customWidth="1"/>
    <col min="69" max="69" width="21.140625" customWidth="1"/>
    <col min="70" max="71" width="22.7109375" customWidth="1"/>
    <col min="72" max="72" width="18" customWidth="1"/>
    <col min="73" max="73" width="22.5703125" customWidth="1"/>
    <col min="74" max="74" width="19.7109375" customWidth="1"/>
  </cols>
  <sheetData>
    <row r="1" spans="1:76" ht="27" thickBot="1" x14ac:dyDescent="0.45">
      <c r="A1" s="295" t="s">
        <v>12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5"/>
      <c r="AR1" s="295"/>
      <c r="AS1" s="295"/>
      <c r="AT1" s="295"/>
      <c r="AU1" s="295"/>
      <c r="AV1" s="295"/>
      <c r="AW1" s="295"/>
      <c r="AX1" s="295"/>
      <c r="AY1" s="295"/>
      <c r="AZ1" s="295"/>
      <c r="BA1" s="161"/>
      <c r="BB1" s="161"/>
    </row>
    <row r="2" spans="1:76" ht="23.25" x14ac:dyDescent="0.25">
      <c r="A2" s="319" t="s">
        <v>25</v>
      </c>
      <c r="B2" s="320"/>
      <c r="C2" s="320"/>
      <c r="D2" s="320"/>
      <c r="E2" s="320"/>
      <c r="F2" s="320"/>
      <c r="G2" s="320" t="s">
        <v>25</v>
      </c>
      <c r="H2" s="320"/>
      <c r="I2" s="320"/>
      <c r="J2" s="320"/>
      <c r="K2" s="320"/>
      <c r="L2" s="320"/>
      <c r="M2" s="320"/>
      <c r="N2" s="261"/>
      <c r="O2" s="261"/>
      <c r="P2" s="125"/>
      <c r="Q2" s="125"/>
      <c r="R2" s="125"/>
      <c r="S2" s="125"/>
      <c r="T2" s="125"/>
      <c r="U2" s="125"/>
      <c r="V2" s="125"/>
      <c r="W2" s="333" t="s">
        <v>39</v>
      </c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335"/>
      <c r="AO2" s="315" t="s">
        <v>18</v>
      </c>
      <c r="AP2" s="316"/>
      <c r="AQ2" s="316"/>
      <c r="AR2" s="316"/>
      <c r="AS2" s="317"/>
      <c r="AT2" s="317"/>
      <c r="AU2" s="317"/>
      <c r="AV2" s="317"/>
      <c r="AW2" s="317"/>
      <c r="AX2" s="317"/>
      <c r="AY2" s="317"/>
      <c r="AZ2" s="318"/>
      <c r="BA2" s="125"/>
      <c r="BB2" s="125"/>
      <c r="BC2" s="336" t="s">
        <v>25</v>
      </c>
      <c r="BD2" s="337"/>
      <c r="BE2" s="337"/>
      <c r="BF2" s="337"/>
      <c r="BG2" s="337"/>
      <c r="BH2" s="337"/>
      <c r="BI2" s="337"/>
      <c r="BJ2" s="337"/>
      <c r="BK2" s="337"/>
      <c r="BL2" s="337"/>
      <c r="BM2" s="337"/>
      <c r="BN2" s="337"/>
      <c r="BO2" s="337"/>
      <c r="BP2" s="337"/>
      <c r="BQ2" s="331" t="s">
        <v>30</v>
      </c>
      <c r="BR2" s="332"/>
      <c r="BS2" s="332"/>
      <c r="BT2" s="332"/>
      <c r="BU2" s="332"/>
      <c r="BV2" s="332"/>
      <c r="BW2" s="332"/>
      <c r="BX2" s="332"/>
    </row>
    <row r="3" spans="1:76" ht="21" x14ac:dyDescent="0.25">
      <c r="A3" s="309" t="s">
        <v>72</v>
      </c>
      <c r="B3" s="309"/>
      <c r="C3" s="313" t="s">
        <v>56</v>
      </c>
      <c r="D3" s="313"/>
      <c r="E3" s="313" t="s">
        <v>57</v>
      </c>
      <c r="F3" s="313"/>
      <c r="G3" s="309" t="s">
        <v>58</v>
      </c>
      <c r="H3" s="314"/>
      <c r="I3" s="309" t="s">
        <v>59</v>
      </c>
      <c r="J3" s="309"/>
      <c r="K3" s="309" t="s">
        <v>60</v>
      </c>
      <c r="L3" s="309"/>
      <c r="M3" s="309" t="s">
        <v>70</v>
      </c>
      <c r="N3" s="314"/>
      <c r="O3" s="309" t="s">
        <v>71</v>
      </c>
      <c r="P3" s="309"/>
      <c r="Q3" s="306" t="s">
        <v>62</v>
      </c>
      <c r="R3" s="313"/>
      <c r="S3" s="305" t="s">
        <v>63</v>
      </c>
      <c r="T3" s="306"/>
      <c r="U3" s="311" t="s">
        <v>64</v>
      </c>
      <c r="V3" s="312"/>
      <c r="W3" s="313" t="s">
        <v>65</v>
      </c>
      <c r="X3" s="313"/>
      <c r="Y3" s="313" t="s">
        <v>66</v>
      </c>
      <c r="Z3" s="313"/>
      <c r="AA3" s="324" t="s">
        <v>55</v>
      </c>
      <c r="AB3" s="323"/>
      <c r="AC3" s="324" t="s">
        <v>61</v>
      </c>
      <c r="AD3" s="323"/>
      <c r="AE3" s="321" t="s">
        <v>26</v>
      </c>
      <c r="AF3" s="313"/>
      <c r="AG3" s="305" t="s">
        <v>27</v>
      </c>
      <c r="AH3" s="306"/>
      <c r="AI3" s="311" t="s">
        <v>20</v>
      </c>
      <c r="AJ3" s="312"/>
      <c r="AK3" s="313" t="s">
        <v>21</v>
      </c>
      <c r="AL3" s="313"/>
      <c r="AM3" s="328" t="s">
        <v>51</v>
      </c>
      <c r="AN3" s="329"/>
      <c r="AO3" s="325" t="s">
        <v>45</v>
      </c>
      <c r="AP3" s="326"/>
      <c r="AQ3" s="313" t="s">
        <v>33</v>
      </c>
      <c r="AR3" s="313"/>
      <c r="AS3" s="309" t="s">
        <v>69</v>
      </c>
      <c r="AT3" s="309"/>
      <c r="AU3" s="313" t="s">
        <v>28</v>
      </c>
      <c r="AV3" s="313"/>
      <c r="AW3" s="309" t="s">
        <v>35</v>
      </c>
      <c r="AX3" s="309"/>
      <c r="AY3" s="309" t="s">
        <v>36</v>
      </c>
      <c r="AZ3" s="309"/>
    </row>
    <row r="4" spans="1:76" ht="18.75" x14ac:dyDescent="0.25">
      <c r="A4" s="28" t="s">
        <v>6</v>
      </c>
      <c r="B4" s="41" t="s">
        <v>5</v>
      </c>
      <c r="C4" s="27" t="s">
        <v>6</v>
      </c>
      <c r="D4" s="28" t="s">
        <v>5</v>
      </c>
      <c r="E4" s="27" t="s">
        <v>6</v>
      </c>
      <c r="F4" s="28" t="s">
        <v>5</v>
      </c>
      <c r="G4" s="42" t="s">
        <v>6</v>
      </c>
      <c r="H4" s="40" t="s">
        <v>5</v>
      </c>
      <c r="I4" s="42" t="s">
        <v>6</v>
      </c>
      <c r="J4" s="42" t="s">
        <v>5</v>
      </c>
      <c r="K4" s="42" t="s">
        <v>6</v>
      </c>
      <c r="L4" s="42" t="s">
        <v>5</v>
      </c>
      <c r="M4" s="42" t="s">
        <v>6</v>
      </c>
      <c r="N4" s="40" t="s">
        <v>5</v>
      </c>
      <c r="O4" s="5" t="s">
        <v>6</v>
      </c>
      <c r="P4" s="5" t="s">
        <v>5</v>
      </c>
      <c r="Q4" s="27" t="s">
        <v>6</v>
      </c>
      <c r="R4" s="28" t="s">
        <v>5</v>
      </c>
      <c r="S4" s="186" t="s">
        <v>6</v>
      </c>
      <c r="T4" s="28" t="s">
        <v>5</v>
      </c>
      <c r="U4" s="42" t="s">
        <v>6</v>
      </c>
      <c r="V4" s="42" t="s">
        <v>5</v>
      </c>
      <c r="W4" s="27" t="s">
        <v>6</v>
      </c>
      <c r="X4" s="28" t="s">
        <v>5</v>
      </c>
      <c r="Y4" s="27" t="s">
        <v>6</v>
      </c>
      <c r="Z4" s="28" t="s">
        <v>5</v>
      </c>
      <c r="AA4" s="160" t="s">
        <v>6</v>
      </c>
      <c r="AB4" s="43" t="s">
        <v>5</v>
      </c>
      <c r="AC4" s="160" t="s">
        <v>6</v>
      </c>
      <c r="AD4" s="43" t="s">
        <v>5</v>
      </c>
      <c r="AE4" s="186" t="s">
        <v>6</v>
      </c>
      <c r="AF4" s="28" t="s">
        <v>5</v>
      </c>
      <c r="AG4" s="186" t="s">
        <v>6</v>
      </c>
      <c r="AH4" s="28" t="s">
        <v>5</v>
      </c>
      <c r="AI4" s="42" t="s">
        <v>6</v>
      </c>
      <c r="AJ4" s="42" t="s">
        <v>5</v>
      </c>
      <c r="AK4" s="27" t="s">
        <v>6</v>
      </c>
      <c r="AL4" s="28" t="s">
        <v>5</v>
      </c>
      <c r="AM4" s="42" t="s">
        <v>6</v>
      </c>
      <c r="AN4" s="40" t="s">
        <v>5</v>
      </c>
      <c r="AO4" s="28" t="s">
        <v>6</v>
      </c>
      <c r="AP4" s="41" t="s">
        <v>5</v>
      </c>
      <c r="AQ4" s="28" t="s">
        <v>6</v>
      </c>
      <c r="AR4" s="28" t="s">
        <v>5</v>
      </c>
      <c r="AS4" s="42" t="s">
        <v>6</v>
      </c>
      <c r="AT4" s="42" t="s">
        <v>5</v>
      </c>
      <c r="AU4" s="28" t="s">
        <v>6</v>
      </c>
      <c r="AV4" s="28" t="s">
        <v>5</v>
      </c>
      <c r="AW4" s="42" t="s">
        <v>6</v>
      </c>
      <c r="AX4" s="42" t="s">
        <v>5</v>
      </c>
      <c r="AY4" s="42" t="s">
        <v>6</v>
      </c>
      <c r="AZ4" s="42" t="s">
        <v>5</v>
      </c>
    </row>
    <row r="5" spans="1:76" ht="21" x14ac:dyDescent="0.3">
      <c r="A5" s="234">
        <v>0</v>
      </c>
      <c r="B5" s="234">
        <v>0</v>
      </c>
      <c r="C5" s="198">
        <v>0</v>
      </c>
      <c r="D5" s="199">
        <v>0</v>
      </c>
      <c r="E5" s="198">
        <v>0</v>
      </c>
      <c r="F5" s="220">
        <v>0</v>
      </c>
      <c r="G5" s="198">
        <v>0</v>
      </c>
      <c r="H5" s="220">
        <v>0</v>
      </c>
      <c r="I5" s="199">
        <v>0</v>
      </c>
      <c r="J5" s="199">
        <v>0</v>
      </c>
      <c r="K5" s="225">
        <v>0</v>
      </c>
      <c r="L5" s="209">
        <v>0</v>
      </c>
      <c r="M5" s="202">
        <v>0</v>
      </c>
      <c r="N5" s="250">
        <v>0</v>
      </c>
      <c r="O5" s="253">
        <v>0</v>
      </c>
      <c r="P5" s="253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57">
        <v>0</v>
      </c>
      <c r="X5" s="57">
        <v>0</v>
      </c>
      <c r="Y5" s="183">
        <v>0</v>
      </c>
      <c r="Z5" s="34">
        <v>0</v>
      </c>
      <c r="AA5" s="187"/>
      <c r="AB5" s="187"/>
      <c r="AC5" s="187"/>
      <c r="AD5" s="187"/>
      <c r="AE5" s="74"/>
      <c r="AF5" s="74"/>
      <c r="AG5" s="74"/>
      <c r="AH5" s="74"/>
      <c r="AI5" s="74"/>
      <c r="AJ5" s="74"/>
      <c r="AK5" s="74"/>
      <c r="AL5" s="74"/>
      <c r="AM5" s="34"/>
      <c r="AN5" s="57"/>
      <c r="AO5" s="34"/>
      <c r="AP5" s="34"/>
      <c r="AQ5" s="34"/>
      <c r="AR5" s="34"/>
      <c r="AS5" s="34">
        <v>0</v>
      </c>
      <c r="AT5" s="34">
        <v>0</v>
      </c>
      <c r="AU5" s="187"/>
      <c r="AV5" s="187"/>
      <c r="AW5" s="34"/>
      <c r="AX5" s="34"/>
      <c r="AY5" s="57"/>
      <c r="AZ5" s="57"/>
    </row>
    <row r="6" spans="1:76" ht="21" x14ac:dyDescent="0.3">
      <c r="A6" s="235">
        <v>6.0000000000000001E-3</v>
      </c>
      <c r="B6" s="235">
        <v>0.11941300000000001</v>
      </c>
      <c r="C6" s="198">
        <v>4.0000000000000001E-3</v>
      </c>
      <c r="D6" s="199">
        <v>5.6695000000000002E-2</v>
      </c>
      <c r="E6" s="198">
        <v>6.0000000000000001E-3</v>
      </c>
      <c r="F6" s="220">
        <v>5.1285400000000002E-2</v>
      </c>
      <c r="G6" s="198">
        <v>7.0000000000000001E-3</v>
      </c>
      <c r="H6" s="220">
        <v>6.6801700000000006E-2</v>
      </c>
      <c r="I6" s="199">
        <v>4.0000000000000001E-3</v>
      </c>
      <c r="J6" s="199">
        <v>6.7843100000000003E-2</v>
      </c>
      <c r="K6" s="225">
        <v>4.0000000000000001E-3</v>
      </c>
      <c r="L6" s="209">
        <v>0.14268</v>
      </c>
      <c r="M6" s="202">
        <v>6.0000000000000001E-3</v>
      </c>
      <c r="N6" s="250">
        <v>8.2341700000000004E-2</v>
      </c>
      <c r="O6" s="253">
        <v>7.0000000000000001E-3</v>
      </c>
      <c r="P6" s="253">
        <v>0.11770899999999999</v>
      </c>
      <c r="Q6" s="34">
        <v>7.0000000000000001E-3</v>
      </c>
      <c r="R6" s="85">
        <v>4.53415E-2</v>
      </c>
      <c r="S6" s="85">
        <v>7.0000000000000001E-3</v>
      </c>
      <c r="T6" s="85">
        <v>4.8988499999999997E-2</v>
      </c>
      <c r="U6" s="34">
        <v>7.0000000000000001E-3</v>
      </c>
      <c r="V6" s="34">
        <v>5.7907100000000003E-2</v>
      </c>
      <c r="W6" s="57">
        <v>7.0000000000000001E-3</v>
      </c>
      <c r="X6" s="57">
        <v>7.1481699999999995E-2</v>
      </c>
      <c r="Y6" s="185">
        <v>6.0000000000000001E-3</v>
      </c>
      <c r="Z6" s="85">
        <v>6.8470500000000004E-2</v>
      </c>
      <c r="AA6" s="187"/>
      <c r="AB6" s="187"/>
      <c r="AC6" s="187"/>
      <c r="AD6" s="187"/>
      <c r="AE6" s="74"/>
      <c r="AF6" s="80"/>
      <c r="AG6" s="80"/>
      <c r="AH6" s="80"/>
      <c r="AI6" s="74"/>
      <c r="AJ6" s="74"/>
      <c r="AK6" s="74"/>
      <c r="AL6" s="74"/>
      <c r="AM6" s="34"/>
      <c r="AN6" s="57"/>
      <c r="AO6" s="34"/>
      <c r="AP6" s="34"/>
      <c r="AQ6" s="34"/>
      <c r="AR6" s="34"/>
      <c r="AS6" s="34">
        <v>7.0000000000000001E-3</v>
      </c>
      <c r="AT6" s="34">
        <v>4.87608E-2</v>
      </c>
      <c r="AU6" s="187"/>
      <c r="AV6" s="187"/>
      <c r="AW6" s="34"/>
      <c r="AX6" s="34"/>
      <c r="AY6" s="57"/>
      <c r="AZ6" s="57"/>
    </row>
    <row r="7" spans="1:76" ht="21" x14ac:dyDescent="0.3">
      <c r="A7" s="235">
        <v>8.9999999999999993E-3</v>
      </c>
      <c r="B7" s="235">
        <v>0.17815400000000001</v>
      </c>
      <c r="C7" s="198">
        <v>7.0000000000000001E-3</v>
      </c>
      <c r="D7" s="200">
        <v>5.32498E-2</v>
      </c>
      <c r="E7" s="198">
        <v>8.9999999999999993E-3</v>
      </c>
      <c r="F7" s="220">
        <v>7.6366199999999995E-2</v>
      </c>
      <c r="G7" s="198">
        <v>1.15E-2</v>
      </c>
      <c r="H7" s="220">
        <v>0.10888</v>
      </c>
      <c r="I7" s="199">
        <v>7.0000000000000001E-3</v>
      </c>
      <c r="J7" s="199">
        <v>7.47144E-2</v>
      </c>
      <c r="K7" s="225">
        <v>6.0000000000000001E-3</v>
      </c>
      <c r="L7" s="209">
        <v>7.26826E-2</v>
      </c>
      <c r="M7" s="202">
        <v>8.9999999999999993E-3</v>
      </c>
      <c r="N7" s="250">
        <v>0.12288200000000001</v>
      </c>
      <c r="O7" s="253">
        <v>1.15E-2</v>
      </c>
      <c r="P7" s="253">
        <v>0.19229399999999999</v>
      </c>
      <c r="Q7" s="34">
        <v>1.15E-2</v>
      </c>
      <c r="R7" s="85">
        <v>7.3602200000000007E-2</v>
      </c>
      <c r="S7" s="85">
        <v>1.15E-2</v>
      </c>
      <c r="T7" s="85">
        <v>7.9636899999999997E-2</v>
      </c>
      <c r="U7" s="34">
        <v>1.15E-2</v>
      </c>
      <c r="V7" s="34">
        <v>9.4566499999999998E-2</v>
      </c>
      <c r="W7" s="57">
        <v>1.15E-2</v>
      </c>
      <c r="X7" s="184">
        <v>0.116798</v>
      </c>
      <c r="Y7" s="185">
        <v>8.9999999999999993E-3</v>
      </c>
      <c r="Z7" s="85">
        <v>0.102187</v>
      </c>
      <c r="AA7" s="187"/>
      <c r="AB7" s="187"/>
      <c r="AC7" s="187"/>
      <c r="AD7" s="187"/>
      <c r="AE7" s="74"/>
      <c r="AF7" s="80"/>
      <c r="AG7" s="80"/>
      <c r="AH7" s="80"/>
      <c r="AI7" s="74"/>
      <c r="AJ7" s="74"/>
      <c r="AK7" s="74"/>
      <c r="AL7" s="74"/>
      <c r="AM7" s="34"/>
      <c r="AN7" s="57"/>
      <c r="AO7" s="34"/>
      <c r="AP7" s="34"/>
      <c r="AQ7" s="34"/>
      <c r="AR7" s="34"/>
      <c r="AS7" s="34">
        <v>1.15E-2</v>
      </c>
      <c r="AT7" s="34">
        <v>7.9504400000000003E-2</v>
      </c>
      <c r="AU7" s="187"/>
      <c r="AV7" s="187"/>
      <c r="AW7" s="34"/>
      <c r="AX7" s="34"/>
      <c r="AY7" s="57"/>
      <c r="AZ7" s="57"/>
    </row>
    <row r="8" spans="1:76" ht="21" x14ac:dyDescent="0.3">
      <c r="A8" s="235">
        <v>1.35E-2</v>
      </c>
      <c r="B8" s="235">
        <v>0.26620700000000003</v>
      </c>
      <c r="C8" s="198">
        <v>1.15E-2</v>
      </c>
      <c r="D8" s="199">
        <v>8.6916199999999999E-2</v>
      </c>
      <c r="E8" s="207">
        <v>1.35E-2</v>
      </c>
      <c r="F8" s="221">
        <v>0.113832</v>
      </c>
      <c r="G8" s="198">
        <v>1.8249999999999999E-2</v>
      </c>
      <c r="H8" s="220">
        <v>0.17131199999999999</v>
      </c>
      <c r="I8" s="199">
        <v>1.15E-2</v>
      </c>
      <c r="J8" s="199">
        <v>0.122077</v>
      </c>
      <c r="K8" s="225">
        <v>8.9999999999999993E-3</v>
      </c>
      <c r="L8" s="209">
        <v>0.108399</v>
      </c>
      <c r="M8" s="202">
        <v>1.35E-2</v>
      </c>
      <c r="N8" s="250">
        <v>0.183507</v>
      </c>
      <c r="O8" s="253">
        <v>1.8249999999999999E-2</v>
      </c>
      <c r="P8" s="253">
        <v>0.30344500000000002</v>
      </c>
      <c r="Q8" s="34">
        <v>1.8249999999999999E-2</v>
      </c>
      <c r="R8" s="85">
        <v>0.115013</v>
      </c>
      <c r="S8" s="85">
        <v>1.8249999999999999E-2</v>
      </c>
      <c r="T8" s="85">
        <v>0.124865</v>
      </c>
      <c r="U8" s="34">
        <v>1.8249999999999999E-2</v>
      </c>
      <c r="V8" s="34">
        <v>0.14873500000000001</v>
      </c>
      <c r="W8" s="57">
        <v>1.8249999999999999E-2</v>
      </c>
      <c r="X8" s="184">
        <v>0.18393599999999999</v>
      </c>
      <c r="Y8" s="185">
        <v>1.35E-2</v>
      </c>
      <c r="Z8" s="85">
        <v>0.152555</v>
      </c>
      <c r="AA8" s="187"/>
      <c r="AB8" s="187"/>
      <c r="AC8" s="187"/>
      <c r="AD8" s="187"/>
      <c r="AE8" s="74"/>
      <c r="AF8" s="80"/>
      <c r="AG8" s="80"/>
      <c r="AH8" s="80"/>
      <c r="AI8" s="74"/>
      <c r="AJ8" s="74"/>
      <c r="AK8" s="74"/>
      <c r="AL8" s="74"/>
      <c r="AM8" s="34"/>
      <c r="AN8" s="57"/>
      <c r="AO8" s="34"/>
      <c r="AP8" s="34"/>
      <c r="AQ8" s="34"/>
      <c r="AR8" s="34"/>
      <c r="AS8" s="34">
        <v>1.8249999999999999E-2</v>
      </c>
      <c r="AT8" s="34">
        <v>0.124768</v>
      </c>
      <c r="AU8" s="187"/>
      <c r="AV8" s="187"/>
      <c r="AW8" s="34"/>
      <c r="AX8" s="34"/>
      <c r="AY8" s="57"/>
      <c r="AZ8" s="184"/>
    </row>
    <row r="9" spans="1:76" ht="21" x14ac:dyDescent="0.3">
      <c r="A9" s="235">
        <v>2.0250000000000001E-2</v>
      </c>
      <c r="B9" s="235">
        <v>0.39725899999999997</v>
      </c>
      <c r="C9" s="198">
        <v>1.8249999999999999E-2</v>
      </c>
      <c r="D9" s="199">
        <v>0.13656099999999999</v>
      </c>
      <c r="E9" s="198">
        <v>2.0250000000000001E-2</v>
      </c>
      <c r="F9" s="220">
        <v>0.16911399999999999</v>
      </c>
      <c r="G9" s="198">
        <v>2.8375000000000001E-2</v>
      </c>
      <c r="H9" s="220">
        <v>0.26236399999999999</v>
      </c>
      <c r="I9" s="199">
        <v>1.8249999999999999E-2</v>
      </c>
      <c r="J9" s="199">
        <v>0.19227900000000001</v>
      </c>
      <c r="K9" s="225">
        <v>1.35E-2</v>
      </c>
      <c r="L9" s="209">
        <v>0.16181400000000001</v>
      </c>
      <c r="M9" s="202">
        <v>2.0250000000000001E-2</v>
      </c>
      <c r="N9" s="250">
        <v>0.27347399999999999</v>
      </c>
      <c r="O9" s="254">
        <v>2.8375000000000001E-2</v>
      </c>
      <c r="P9" s="254">
        <v>0.46749099999999999</v>
      </c>
      <c r="Q9" s="34">
        <v>2.8375000000000001E-2</v>
      </c>
      <c r="R9" s="85">
        <v>0.17361199999999999</v>
      </c>
      <c r="S9" s="85">
        <v>2.8375000000000001E-2</v>
      </c>
      <c r="T9" s="85">
        <v>0.18986900000000001</v>
      </c>
      <c r="U9" s="34">
        <v>2.8375000000000001E-2</v>
      </c>
      <c r="V9" s="34">
        <v>0.22742000000000001</v>
      </c>
      <c r="W9" s="57">
        <v>2.8375000000000001E-2</v>
      </c>
      <c r="X9" s="184">
        <v>0.282167</v>
      </c>
      <c r="Y9" s="185">
        <v>2.0250000000000001E-2</v>
      </c>
      <c r="Z9" s="85">
        <v>0.227158</v>
      </c>
      <c r="AA9" s="187"/>
      <c r="AB9" s="187"/>
      <c r="AC9" s="187"/>
      <c r="AD9" s="187"/>
      <c r="AE9" s="74"/>
      <c r="AF9" s="80"/>
      <c r="AG9" s="80"/>
      <c r="AH9" s="80"/>
      <c r="AI9" s="74"/>
      <c r="AJ9" s="74"/>
      <c r="AK9" s="74"/>
      <c r="AL9" s="80"/>
      <c r="AM9" s="34"/>
      <c r="AN9" s="57"/>
      <c r="AO9" s="34"/>
      <c r="AP9" s="85"/>
      <c r="AQ9" s="34"/>
      <c r="AR9" s="34"/>
      <c r="AS9" s="34">
        <v>2.8375000000000001E-2</v>
      </c>
      <c r="AT9" s="34">
        <v>0.18985099999999999</v>
      </c>
      <c r="AU9" s="187"/>
      <c r="AV9" s="187"/>
      <c r="AW9" s="34"/>
      <c r="AX9" s="34"/>
      <c r="AY9" s="57"/>
      <c r="AZ9" s="184"/>
    </row>
    <row r="10" spans="1:76" ht="21" x14ac:dyDescent="0.3">
      <c r="A10" s="235">
        <v>3.0374999999999999E-2</v>
      </c>
      <c r="B10" s="235">
        <v>0.59079599999999999</v>
      </c>
      <c r="C10" s="198">
        <v>2.8375000000000001E-2</v>
      </c>
      <c r="D10" s="199">
        <v>0.208346</v>
      </c>
      <c r="E10" s="198">
        <v>3.0374999999999999E-2</v>
      </c>
      <c r="F10" s="220">
        <v>0.24926300000000001</v>
      </c>
      <c r="G10" s="198">
        <v>4.3562499999999997E-2</v>
      </c>
      <c r="H10" s="220">
        <v>0.39131700000000003</v>
      </c>
      <c r="I10" s="199">
        <v>2.8375000000000001E-2</v>
      </c>
      <c r="J10" s="199">
        <v>0.29493900000000001</v>
      </c>
      <c r="K10" s="225">
        <v>2.0250000000000001E-2</v>
      </c>
      <c r="L10" s="209">
        <v>0.24098900000000001</v>
      </c>
      <c r="M10" s="202">
        <v>3.0374999999999999E-2</v>
      </c>
      <c r="N10" s="250">
        <v>0.40554899999999999</v>
      </c>
      <c r="O10" s="254">
        <v>4.3562499999999997E-2</v>
      </c>
      <c r="P10" s="254">
        <v>0.705071</v>
      </c>
      <c r="Q10" s="34">
        <v>4.3562499999999997E-2</v>
      </c>
      <c r="R10" s="85">
        <v>0.25064399999999998</v>
      </c>
      <c r="S10" s="85">
        <v>4.3562499999999997E-2</v>
      </c>
      <c r="T10" s="85">
        <v>0.27893400000000002</v>
      </c>
      <c r="U10" s="34">
        <v>4.3562499999999997E-2</v>
      </c>
      <c r="V10" s="34">
        <v>0.338057</v>
      </c>
      <c r="W10" s="57">
        <v>4.3562499999999997E-2</v>
      </c>
      <c r="X10" s="184">
        <v>0.42146899999999998</v>
      </c>
      <c r="Y10" s="185">
        <v>3.0374999999999999E-2</v>
      </c>
      <c r="Z10" s="85">
        <v>0.33628999999999998</v>
      </c>
      <c r="AA10" s="187"/>
      <c r="AB10" s="187"/>
      <c r="AC10" s="187"/>
      <c r="AD10" s="187"/>
      <c r="AE10" s="74"/>
      <c r="AF10" s="80"/>
      <c r="AG10" s="80"/>
      <c r="AH10" s="80"/>
      <c r="AI10" s="74"/>
      <c r="AJ10" s="74"/>
      <c r="AK10" s="74"/>
      <c r="AL10" s="80"/>
      <c r="AM10" s="34"/>
      <c r="AN10" s="57"/>
      <c r="AO10" s="34"/>
      <c r="AP10" s="85"/>
      <c r="AQ10" s="34"/>
      <c r="AR10" s="34"/>
      <c r="AS10" s="34">
        <v>4.3562499999999997E-2</v>
      </c>
      <c r="AT10" s="34">
        <v>0.279194</v>
      </c>
      <c r="AU10" s="187"/>
      <c r="AV10" s="187"/>
      <c r="AW10" s="34"/>
      <c r="AX10" s="34"/>
      <c r="AY10" s="57"/>
      <c r="AZ10" s="57"/>
    </row>
    <row r="11" spans="1:76" ht="21" x14ac:dyDescent="0.3">
      <c r="A11" s="235">
        <v>4.5562499999999999E-2</v>
      </c>
      <c r="B11" s="235">
        <v>0.872444</v>
      </c>
      <c r="C11" s="198">
        <v>4.3562499999999997E-2</v>
      </c>
      <c r="D11" s="201">
        <v>0.308251</v>
      </c>
      <c r="E11" s="198">
        <v>4.5562499999999999E-2</v>
      </c>
      <c r="F11" s="220">
        <v>0.36161900000000002</v>
      </c>
      <c r="G11" s="198">
        <v>6.6343799999999994E-2</v>
      </c>
      <c r="H11" s="220">
        <v>0.56335000000000002</v>
      </c>
      <c r="I11" s="199">
        <v>4.3562499999999997E-2</v>
      </c>
      <c r="J11" s="199">
        <v>0.44114599999999998</v>
      </c>
      <c r="K11" s="225">
        <v>3.0374999999999999E-2</v>
      </c>
      <c r="L11" s="209">
        <v>0.35689399999999999</v>
      </c>
      <c r="M11" s="203">
        <v>4.5562499999999999E-2</v>
      </c>
      <c r="N11" s="251">
        <v>0.59547099999999997</v>
      </c>
      <c r="O11" s="254">
        <v>6.6343799999999994E-2</v>
      </c>
      <c r="P11" s="254">
        <v>1.03735</v>
      </c>
      <c r="Q11" s="34">
        <v>6.6343799999999994E-2</v>
      </c>
      <c r="R11" s="85">
        <v>0.33373700000000001</v>
      </c>
      <c r="S11" s="85">
        <v>6.6343799999999994E-2</v>
      </c>
      <c r="T11" s="85">
        <v>0.38819500000000001</v>
      </c>
      <c r="U11" s="34">
        <v>6.6343799999999994E-2</v>
      </c>
      <c r="V11" s="85">
        <v>0.48270099999999999</v>
      </c>
      <c r="W11" s="57">
        <v>6.6343799999999994E-2</v>
      </c>
      <c r="X11" s="184">
        <v>0.60833300000000001</v>
      </c>
      <c r="Y11" s="183">
        <v>4.5562499999999999E-2</v>
      </c>
      <c r="Z11" s="34">
        <v>0.49162800000000001</v>
      </c>
      <c r="AA11" s="187"/>
      <c r="AB11" s="187"/>
      <c r="AC11" s="187"/>
      <c r="AD11" s="187"/>
      <c r="AE11" s="74"/>
      <c r="AF11" s="80"/>
      <c r="AG11" s="80"/>
      <c r="AH11" s="80"/>
      <c r="AI11" s="74"/>
      <c r="AJ11" s="80"/>
      <c r="AK11" s="74"/>
      <c r="AL11" s="80"/>
      <c r="AM11" s="34"/>
      <c r="AN11" s="57"/>
      <c r="AO11" s="34"/>
      <c r="AP11" s="85"/>
      <c r="AQ11" s="34"/>
      <c r="AR11" s="34"/>
      <c r="AS11" s="34">
        <v>6.6343799999999994E-2</v>
      </c>
      <c r="AT11" s="34">
        <v>0.38943</v>
      </c>
      <c r="AU11" s="187"/>
      <c r="AV11" s="187"/>
      <c r="AW11" s="34"/>
      <c r="AX11" s="34"/>
      <c r="AY11" s="57"/>
      <c r="AZ11" s="184"/>
    </row>
    <row r="12" spans="1:76" ht="21" x14ac:dyDescent="0.3">
      <c r="A12" s="235">
        <v>6.8343699999999993E-2</v>
      </c>
      <c r="B12" s="235">
        <v>1.2694300000000001</v>
      </c>
      <c r="C12" s="198">
        <v>6.6343799999999994E-2</v>
      </c>
      <c r="D12" s="199">
        <v>0.43632300000000002</v>
      </c>
      <c r="E12" s="206">
        <v>6.8343699999999993E-2</v>
      </c>
      <c r="F12" s="222">
        <v>0.50849</v>
      </c>
      <c r="G12" s="198">
        <v>0.10051599999999999</v>
      </c>
      <c r="H12" s="220">
        <v>0.76368000000000003</v>
      </c>
      <c r="I12" s="199">
        <v>6.6343799999999994E-2</v>
      </c>
      <c r="J12" s="199">
        <v>0.63851599999999997</v>
      </c>
      <c r="K12" s="225">
        <v>4.5562499999999999E-2</v>
      </c>
      <c r="L12" s="209">
        <v>0.52260200000000001</v>
      </c>
      <c r="M12" s="203">
        <v>6.8343699999999993E-2</v>
      </c>
      <c r="N12" s="251">
        <v>0.85624</v>
      </c>
      <c r="O12" s="254">
        <v>0.10051599999999999</v>
      </c>
      <c r="P12" s="254">
        <v>1.4675100000000001</v>
      </c>
      <c r="Q12" s="34">
        <v>0.10051599999999999</v>
      </c>
      <c r="R12" s="85">
        <v>0.37806000000000001</v>
      </c>
      <c r="S12" s="34">
        <v>0.10051599999999999</v>
      </c>
      <c r="T12" s="34">
        <v>0.48591400000000001</v>
      </c>
      <c r="U12" s="34">
        <v>0.10051599999999999</v>
      </c>
      <c r="V12" s="85">
        <v>0.643007</v>
      </c>
      <c r="W12" s="57">
        <v>0.10051599999999999</v>
      </c>
      <c r="X12" s="184">
        <v>0.82807500000000001</v>
      </c>
      <c r="Y12" s="185">
        <v>6.8343699999999993E-2</v>
      </c>
      <c r="Z12" s="85">
        <v>0.70139300000000004</v>
      </c>
      <c r="AA12" s="187"/>
      <c r="AB12" s="187"/>
      <c r="AC12" s="187"/>
      <c r="AD12" s="187"/>
      <c r="AE12" s="74"/>
      <c r="AF12" s="80"/>
      <c r="AG12" s="80"/>
      <c r="AH12" s="80"/>
      <c r="AI12" s="74"/>
      <c r="AJ12" s="80"/>
      <c r="AK12" s="74"/>
      <c r="AL12" s="80"/>
      <c r="AM12" s="34"/>
      <c r="AN12" s="57"/>
      <c r="AO12" s="34"/>
      <c r="AP12" s="85"/>
      <c r="AQ12" s="34"/>
      <c r="AR12" s="34"/>
      <c r="AS12" s="34">
        <v>0.10051599999999999</v>
      </c>
      <c r="AT12" s="85">
        <v>0.48799199999999998</v>
      </c>
      <c r="AU12" s="187"/>
      <c r="AV12" s="187"/>
      <c r="AW12" s="34"/>
      <c r="AX12" s="34"/>
      <c r="AY12" s="57"/>
      <c r="AZ12" s="184"/>
    </row>
    <row r="13" spans="1:76" ht="21" x14ac:dyDescent="0.3">
      <c r="A13" s="235">
        <v>0.102516</v>
      </c>
      <c r="B13" s="235">
        <v>1.79447</v>
      </c>
      <c r="C13" s="198">
        <v>0.10051599999999999</v>
      </c>
      <c r="D13" s="199">
        <v>0.56974400000000003</v>
      </c>
      <c r="E13" s="206">
        <v>0.102516</v>
      </c>
      <c r="F13" s="222">
        <v>0.67142400000000002</v>
      </c>
      <c r="G13" s="198">
        <v>0.15177299999999999</v>
      </c>
      <c r="H13" s="222">
        <v>0.92143799999999998</v>
      </c>
      <c r="I13" s="199">
        <v>0.10051599999999999</v>
      </c>
      <c r="J13" s="199">
        <v>0.874942</v>
      </c>
      <c r="K13" s="225">
        <v>6.8343699999999993E-2</v>
      </c>
      <c r="L13" s="209">
        <v>0.74798399999999998</v>
      </c>
      <c r="M13" s="203">
        <v>0.102516</v>
      </c>
      <c r="N13" s="251">
        <v>1.18205</v>
      </c>
      <c r="O13" s="254">
        <v>0.15177299999999999</v>
      </c>
      <c r="P13" s="254">
        <v>1.9285600000000001</v>
      </c>
      <c r="Q13" s="34">
        <v>0.15177299999999999</v>
      </c>
      <c r="R13" s="85">
        <v>0.27483800000000003</v>
      </c>
      <c r="S13" s="34">
        <v>0.15177299999999999</v>
      </c>
      <c r="T13" s="34">
        <v>0.48476399999999997</v>
      </c>
      <c r="U13" s="34">
        <v>0.15177299999999999</v>
      </c>
      <c r="V13" s="85">
        <v>0.74462799999999996</v>
      </c>
      <c r="W13" s="57">
        <v>0.15177299999999999</v>
      </c>
      <c r="X13" s="57">
        <v>1.0038100000000001</v>
      </c>
      <c r="Y13" s="185">
        <v>0.102516</v>
      </c>
      <c r="Z13" s="85">
        <v>0.95211299999999999</v>
      </c>
      <c r="AA13" s="187"/>
      <c r="AB13" s="187"/>
      <c r="AC13" s="187"/>
      <c r="AD13" s="187"/>
      <c r="AE13" s="74"/>
      <c r="AF13" s="80"/>
      <c r="AG13" s="80"/>
      <c r="AH13" s="80"/>
      <c r="AI13" s="74"/>
      <c r="AJ13" s="80"/>
      <c r="AK13" s="74"/>
      <c r="AL13" s="80"/>
      <c r="AM13" s="34"/>
      <c r="AN13" s="57"/>
      <c r="AO13" s="34"/>
      <c r="AP13" s="85"/>
      <c r="AQ13" s="34"/>
      <c r="AR13" s="34"/>
      <c r="AS13" s="34">
        <v>0.15177299999999999</v>
      </c>
      <c r="AT13" s="85">
        <v>0.48140899999999998</v>
      </c>
      <c r="AU13" s="187"/>
      <c r="AV13" s="187"/>
      <c r="AW13" s="34"/>
      <c r="AX13" s="34"/>
      <c r="AY13" s="57"/>
      <c r="AZ13" s="184"/>
    </row>
    <row r="14" spans="1:76" ht="21" x14ac:dyDescent="0.3">
      <c r="A14" s="234">
        <v>0.15377299999999999</v>
      </c>
      <c r="B14" s="234">
        <v>2.3913099999999998</v>
      </c>
      <c r="C14" s="198">
        <v>0.15177299999999999</v>
      </c>
      <c r="D14" s="199">
        <v>0.633687</v>
      </c>
      <c r="E14" s="206">
        <v>0.15377299999999999</v>
      </c>
      <c r="F14" s="222">
        <v>0.77833399999999997</v>
      </c>
      <c r="G14" s="198">
        <v>0.17099500000000001</v>
      </c>
      <c r="H14" s="222">
        <v>0.93770200000000004</v>
      </c>
      <c r="I14" s="200">
        <v>0.15177299999999999</v>
      </c>
      <c r="J14" s="200">
        <v>1.0794999999999999</v>
      </c>
      <c r="K14" s="226">
        <v>0.102516</v>
      </c>
      <c r="L14" s="210">
        <v>1.0232300000000001</v>
      </c>
      <c r="M14" s="203">
        <v>0.15377299999999999</v>
      </c>
      <c r="N14" s="251">
        <v>1.4991699999999999</v>
      </c>
      <c r="O14" s="254">
        <v>0.17099500000000001</v>
      </c>
      <c r="P14" s="254">
        <v>2.0442200000000001</v>
      </c>
      <c r="Q14" s="34">
        <v>0.22866</v>
      </c>
      <c r="R14" s="85">
        <v>2.8302000000000001E-5</v>
      </c>
      <c r="S14" s="34">
        <v>0.22866</v>
      </c>
      <c r="T14" s="34">
        <v>0.22848399999999999</v>
      </c>
      <c r="U14" s="34">
        <v>0.17099500000000001</v>
      </c>
      <c r="V14" s="85">
        <v>0.74264200000000002</v>
      </c>
      <c r="W14" s="57">
        <v>0.17099500000000001</v>
      </c>
      <c r="X14" s="184">
        <v>1.02319</v>
      </c>
      <c r="Y14" s="185">
        <v>0.15377299999999999</v>
      </c>
      <c r="Z14" s="85">
        <v>1.1613500000000001</v>
      </c>
      <c r="AA14" s="187"/>
      <c r="AB14" s="187"/>
      <c r="AC14" s="187"/>
      <c r="AD14" s="187"/>
      <c r="AE14" s="74"/>
      <c r="AF14" s="80"/>
      <c r="AG14" s="74"/>
      <c r="AH14" s="74"/>
      <c r="AI14" s="74"/>
      <c r="AJ14" s="80"/>
      <c r="AK14" s="74"/>
      <c r="AL14" s="80"/>
      <c r="AM14" s="34"/>
      <c r="AN14" s="57"/>
      <c r="AO14" s="34"/>
      <c r="AP14" s="85"/>
      <c r="AQ14" s="34"/>
      <c r="AR14" s="34"/>
      <c r="AS14" s="57">
        <v>0.22866</v>
      </c>
      <c r="AT14" s="57">
        <v>0.21537800000000001</v>
      </c>
      <c r="AU14" s="187"/>
      <c r="AV14" s="187"/>
      <c r="AW14" s="34"/>
      <c r="AX14" s="85"/>
      <c r="AY14" s="57"/>
      <c r="AZ14" s="184"/>
    </row>
    <row r="15" spans="1:76" ht="21" x14ac:dyDescent="0.3">
      <c r="A15" s="234">
        <v>0.17299500000000001</v>
      </c>
      <c r="B15" s="234">
        <v>2.5533000000000001</v>
      </c>
      <c r="C15" s="198">
        <v>0.17099500000000001</v>
      </c>
      <c r="D15" s="200">
        <v>0.61945399999999995</v>
      </c>
      <c r="E15" s="206">
        <v>0.17299500000000001</v>
      </c>
      <c r="F15" s="222">
        <v>0.77885099999999996</v>
      </c>
      <c r="G15" s="198">
        <v>0.199827</v>
      </c>
      <c r="H15" s="222">
        <v>0.923099</v>
      </c>
      <c r="I15" s="200">
        <v>0.17099500000000001</v>
      </c>
      <c r="J15" s="200">
        <v>1.11097</v>
      </c>
      <c r="K15" s="226">
        <v>0.15377299999999999</v>
      </c>
      <c r="L15" s="210">
        <v>1.2745599999999999</v>
      </c>
      <c r="M15" s="203">
        <v>0.17299500000000001</v>
      </c>
      <c r="N15" s="251">
        <v>1.5637300000000001</v>
      </c>
      <c r="O15" s="254">
        <v>0.199827</v>
      </c>
      <c r="P15" s="254">
        <v>2.14194</v>
      </c>
      <c r="Q15" s="57">
        <v>0.25749300000000003</v>
      </c>
      <c r="R15" s="184">
        <v>5.2804700000000003E-10</v>
      </c>
      <c r="S15" s="34">
        <v>0.25749300000000003</v>
      </c>
      <c r="T15" s="34">
        <v>9.2712600000000006E-2</v>
      </c>
      <c r="U15" s="34">
        <v>0.19982800000000001</v>
      </c>
      <c r="V15" s="85">
        <v>0.70455100000000004</v>
      </c>
      <c r="W15" s="57">
        <v>0.19982800000000001</v>
      </c>
      <c r="X15" s="184">
        <v>1.0034400000000001</v>
      </c>
      <c r="Y15" s="185">
        <v>0.17299500000000001</v>
      </c>
      <c r="Z15" s="85">
        <v>1.1870499999999999</v>
      </c>
      <c r="AA15" s="187"/>
      <c r="AB15" s="187"/>
      <c r="AC15" s="187"/>
      <c r="AD15" s="187"/>
      <c r="AE15" s="74"/>
      <c r="AF15" s="80"/>
      <c r="AG15" s="74"/>
      <c r="AH15" s="80"/>
      <c r="AI15" s="74"/>
      <c r="AJ15" s="80"/>
      <c r="AK15" s="74"/>
      <c r="AL15" s="74"/>
      <c r="AM15" s="34"/>
      <c r="AN15" s="57"/>
      <c r="AO15" s="34"/>
      <c r="AP15" s="34"/>
      <c r="AQ15" s="34"/>
      <c r="AR15" s="34"/>
      <c r="AS15" s="57">
        <v>0.25749300000000003</v>
      </c>
      <c r="AT15" s="57">
        <v>8.40471E-2</v>
      </c>
      <c r="AU15" s="187"/>
      <c r="AV15" s="187"/>
      <c r="AW15" s="34"/>
      <c r="AX15" s="85"/>
      <c r="AY15" s="57"/>
      <c r="AZ15" s="184"/>
    </row>
    <row r="16" spans="1:76" ht="21" x14ac:dyDescent="0.3">
      <c r="A16" s="234">
        <v>0.20182800000000001</v>
      </c>
      <c r="B16" s="234">
        <v>2.7328100000000002</v>
      </c>
      <c r="C16" s="198">
        <v>0.199827</v>
      </c>
      <c r="D16" s="200">
        <v>0.56530100000000005</v>
      </c>
      <c r="E16" s="206">
        <v>0.20182800000000001</v>
      </c>
      <c r="F16" s="222">
        <v>0.74482199999999998</v>
      </c>
      <c r="G16" s="198">
        <v>0.24307599999999999</v>
      </c>
      <c r="H16" s="222">
        <v>0.82728999999999997</v>
      </c>
      <c r="I16" s="200">
        <v>0.199827</v>
      </c>
      <c r="J16" s="200">
        <v>1.11225</v>
      </c>
      <c r="K16" s="226">
        <v>0.17299500000000001</v>
      </c>
      <c r="L16" s="210">
        <v>1.3182499999999999</v>
      </c>
      <c r="M16" s="203">
        <v>0.20182800000000001</v>
      </c>
      <c r="N16" s="251">
        <v>1.6081700000000001</v>
      </c>
      <c r="O16" s="254">
        <v>0.24307599999999999</v>
      </c>
      <c r="P16" s="254">
        <v>2.1314700000000002</v>
      </c>
      <c r="Q16" s="57"/>
      <c r="R16" s="184"/>
      <c r="S16" s="34">
        <v>0.30074099999999998</v>
      </c>
      <c r="T16" s="85">
        <v>2.7034099999999999E-5</v>
      </c>
      <c r="U16" s="34">
        <v>0.24307599999999999</v>
      </c>
      <c r="V16" s="85">
        <v>0.58342899999999998</v>
      </c>
      <c r="W16" s="57">
        <v>0.24307599999999999</v>
      </c>
      <c r="X16" s="184">
        <v>0.88456299999999999</v>
      </c>
      <c r="Y16" s="185">
        <v>0.20182800000000001</v>
      </c>
      <c r="Z16" s="85">
        <v>1.1801999999999999</v>
      </c>
      <c r="AA16" s="187"/>
      <c r="AB16" s="187"/>
      <c r="AC16" s="187"/>
      <c r="AD16" s="187"/>
      <c r="AE16" s="74"/>
      <c r="AF16" s="80"/>
      <c r="AG16" s="74"/>
      <c r="AH16" s="80"/>
      <c r="AI16" s="74"/>
      <c r="AJ16" s="80"/>
      <c r="AK16" s="74"/>
      <c r="AL16" s="80"/>
      <c r="AM16" s="85"/>
      <c r="AN16" s="184"/>
      <c r="AO16" s="34"/>
      <c r="AP16" s="34"/>
      <c r="AQ16" s="34"/>
      <c r="AR16" s="34"/>
      <c r="AS16" s="57">
        <v>0.30074099999999998</v>
      </c>
      <c r="AT16" s="184">
        <v>2.4049E-5</v>
      </c>
      <c r="AU16" s="34"/>
      <c r="AV16" s="85"/>
      <c r="AW16" s="57"/>
      <c r="AX16" s="184"/>
      <c r="AY16" s="57"/>
      <c r="AZ16" s="184"/>
    </row>
    <row r="17" spans="1:52" ht="21" x14ac:dyDescent="0.3">
      <c r="A17" s="234">
        <v>0.24507699999999999</v>
      </c>
      <c r="B17" s="234">
        <v>2.8313999999999999</v>
      </c>
      <c r="C17" s="198">
        <v>0.24307599999999999</v>
      </c>
      <c r="D17" s="200">
        <v>0.42664800000000003</v>
      </c>
      <c r="E17" s="206">
        <v>0.24507599999999999</v>
      </c>
      <c r="F17" s="222">
        <v>0.63048099999999996</v>
      </c>
      <c r="G17" s="198">
        <v>0.259295</v>
      </c>
      <c r="H17" s="222">
        <v>0.77323200000000003</v>
      </c>
      <c r="I17" s="200">
        <v>0.24307599999999999</v>
      </c>
      <c r="J17" s="200">
        <v>1.0274300000000001</v>
      </c>
      <c r="K17" s="226">
        <v>0.192217</v>
      </c>
      <c r="L17" s="210">
        <v>1.3382799999999999</v>
      </c>
      <c r="M17" s="203">
        <v>0.24507599999999999</v>
      </c>
      <c r="N17" s="251">
        <v>1.5482899999999999</v>
      </c>
      <c r="O17" s="254">
        <v>0.259295</v>
      </c>
      <c r="P17" s="254">
        <v>2.0825200000000001</v>
      </c>
      <c r="Q17" s="57"/>
      <c r="R17" s="184"/>
      <c r="S17" s="34">
        <v>0.34399000000000002</v>
      </c>
      <c r="T17" s="85">
        <v>4.1782200000000001E-9</v>
      </c>
      <c r="U17" s="34">
        <v>0.259295</v>
      </c>
      <c r="V17" s="34">
        <v>0.52427999999999997</v>
      </c>
      <c r="W17" s="57">
        <v>0.259295</v>
      </c>
      <c r="X17" s="184">
        <v>0.81811599999999995</v>
      </c>
      <c r="Y17" s="183">
        <v>0.24507599999999999</v>
      </c>
      <c r="Z17" s="85">
        <v>1.0523899999999999</v>
      </c>
      <c r="AA17" s="187"/>
      <c r="AB17" s="187"/>
      <c r="AC17" s="187"/>
      <c r="AD17" s="187"/>
      <c r="AE17" s="188"/>
      <c r="AF17" s="189"/>
      <c r="AG17" s="16"/>
      <c r="AH17" s="17"/>
      <c r="AI17" s="57"/>
      <c r="AJ17" s="85"/>
      <c r="AK17" s="57"/>
      <c r="AL17" s="184"/>
      <c r="AM17" s="85"/>
      <c r="AN17" s="184"/>
      <c r="AO17" s="34"/>
      <c r="AP17" s="85"/>
      <c r="AQ17" s="34"/>
      <c r="AR17" s="85"/>
      <c r="AS17" s="57">
        <v>0.36561500000000002</v>
      </c>
      <c r="AT17" s="184">
        <v>9.8013999999999997E-9</v>
      </c>
      <c r="AU17" s="34"/>
      <c r="AV17" s="85"/>
      <c r="AW17" s="57"/>
      <c r="AX17" s="184"/>
      <c r="AY17" s="187"/>
      <c r="AZ17" s="187"/>
    </row>
    <row r="18" spans="1:52" ht="21" x14ac:dyDescent="0.3">
      <c r="A18" s="234">
        <v>0.261295</v>
      </c>
      <c r="B18" s="234">
        <v>2.8215699999999999</v>
      </c>
      <c r="C18" s="198">
        <v>0.30795</v>
      </c>
      <c r="D18" s="200">
        <v>0.15421299999999999</v>
      </c>
      <c r="E18" s="206">
        <v>0.261295</v>
      </c>
      <c r="F18" s="222">
        <v>0.57303000000000004</v>
      </c>
      <c r="G18" s="198">
        <v>0.28362199999999999</v>
      </c>
      <c r="H18" s="222">
        <v>0.678786</v>
      </c>
      <c r="I18" s="199">
        <v>0.259295</v>
      </c>
      <c r="J18" s="200">
        <v>0.97290200000000004</v>
      </c>
      <c r="K18" s="226">
        <v>0.21143799999999999</v>
      </c>
      <c r="L18" s="210">
        <v>1.33158</v>
      </c>
      <c r="M18" s="203">
        <v>0.261295</v>
      </c>
      <c r="N18" s="251">
        <v>1.4929699999999999</v>
      </c>
      <c r="O18" s="255">
        <v>0.28362199999999999</v>
      </c>
      <c r="P18" s="255">
        <v>1.9684200000000001</v>
      </c>
      <c r="Q18" s="57"/>
      <c r="R18" s="184"/>
      <c r="S18" s="34"/>
      <c r="T18" s="85"/>
      <c r="U18" s="34">
        <v>0.28362199999999999</v>
      </c>
      <c r="V18" s="34">
        <v>0.42776700000000001</v>
      </c>
      <c r="W18" s="57">
        <v>0.28362199999999999</v>
      </c>
      <c r="X18" s="184">
        <v>0.702434</v>
      </c>
      <c r="Y18" s="183">
        <v>0.261295</v>
      </c>
      <c r="Z18" s="85">
        <v>0.97741199999999995</v>
      </c>
      <c r="AA18" s="187"/>
      <c r="AB18" s="187"/>
      <c r="AC18" s="187"/>
      <c r="AD18" s="187"/>
      <c r="AE18" s="188"/>
      <c r="AF18" s="189"/>
      <c r="AG18" s="16"/>
      <c r="AH18" s="17"/>
      <c r="AI18" s="57"/>
      <c r="AJ18" s="85"/>
      <c r="AK18" s="57"/>
      <c r="AL18" s="184"/>
      <c r="AM18" s="85"/>
      <c r="AN18" s="184"/>
      <c r="AO18" s="193"/>
      <c r="AP18" s="193"/>
      <c r="AQ18" s="34"/>
      <c r="AR18" s="85"/>
      <c r="AS18" s="57"/>
      <c r="AT18" s="184"/>
      <c r="AU18" s="34"/>
      <c r="AV18" s="85"/>
      <c r="AW18" s="57"/>
      <c r="AX18" s="184"/>
      <c r="AY18" s="187"/>
      <c r="AZ18" s="187"/>
    </row>
    <row r="19" spans="1:52" ht="21" x14ac:dyDescent="0.3">
      <c r="A19" s="234">
        <v>0.28562199999999999</v>
      </c>
      <c r="B19" s="234">
        <v>2.7630400000000002</v>
      </c>
      <c r="C19" s="198">
        <v>0.33227699999999999</v>
      </c>
      <c r="D19" s="200">
        <v>5.5094400000000002E-2</v>
      </c>
      <c r="E19" s="206">
        <v>0.28562199999999999</v>
      </c>
      <c r="F19" s="222">
        <v>0.47730800000000001</v>
      </c>
      <c r="G19" s="198">
        <v>0.32011299999999998</v>
      </c>
      <c r="H19" s="220">
        <v>0.51838499999999998</v>
      </c>
      <c r="I19" s="199">
        <v>0.28362199999999999</v>
      </c>
      <c r="J19" s="200">
        <v>0.87368599999999996</v>
      </c>
      <c r="K19" s="226">
        <v>0.24027100000000001</v>
      </c>
      <c r="L19" s="210">
        <v>1.27475</v>
      </c>
      <c r="M19" s="203">
        <v>0.28562199999999999</v>
      </c>
      <c r="N19" s="251">
        <v>1.38171</v>
      </c>
      <c r="O19" s="255">
        <v>0.32011299999999998</v>
      </c>
      <c r="P19" s="255">
        <v>1.7157100000000001</v>
      </c>
      <c r="Q19" s="57"/>
      <c r="R19" s="184"/>
      <c r="S19" s="34"/>
      <c r="T19" s="192"/>
      <c r="U19" s="34">
        <v>0.32011299999999998</v>
      </c>
      <c r="V19" s="34">
        <v>0.278202</v>
      </c>
      <c r="W19" s="57">
        <v>0.32011299999999998</v>
      </c>
      <c r="X19" s="57">
        <v>0.50593600000000005</v>
      </c>
      <c r="Y19" s="183">
        <v>0.28562199999999999</v>
      </c>
      <c r="Z19" s="85">
        <v>0.84307299999999996</v>
      </c>
      <c r="AA19" s="187"/>
      <c r="AB19" s="187"/>
      <c r="AC19" s="187"/>
      <c r="AD19" s="187"/>
      <c r="AE19" s="188"/>
      <c r="AF19" s="189"/>
      <c r="AG19" s="190"/>
      <c r="AH19" s="189"/>
      <c r="AI19" s="57"/>
      <c r="AJ19" s="85"/>
      <c r="AK19" s="57"/>
      <c r="AL19" s="184"/>
      <c r="AM19" s="85"/>
      <c r="AN19" s="184"/>
      <c r="AO19" s="57"/>
      <c r="AP19" s="191"/>
      <c r="AQ19" s="187"/>
      <c r="AR19" s="192"/>
      <c r="AS19" s="57"/>
      <c r="AT19" s="184"/>
      <c r="AU19" s="34"/>
      <c r="AV19" s="85"/>
      <c r="AW19" s="57"/>
      <c r="AX19" s="184"/>
      <c r="AY19" s="187"/>
      <c r="AZ19" s="187"/>
    </row>
    <row r="20" spans="1:52" ht="21" x14ac:dyDescent="0.3">
      <c r="A20" s="224">
        <v>0.32211299999999998</v>
      </c>
      <c r="B20" s="224">
        <v>2.585</v>
      </c>
      <c r="C20" s="198">
        <v>0.36876799999999998</v>
      </c>
      <c r="D20" s="200">
        <v>3.7391799999999997E-5</v>
      </c>
      <c r="E20" s="198">
        <v>0.32211299999999998</v>
      </c>
      <c r="F20" s="220">
        <v>0.32371699999999998</v>
      </c>
      <c r="G20" s="198">
        <v>0.33379700000000001</v>
      </c>
      <c r="H20" s="220">
        <v>0.455897</v>
      </c>
      <c r="I20" s="199">
        <v>0.32011299999999998</v>
      </c>
      <c r="J20" s="200">
        <v>0.697075</v>
      </c>
      <c r="K20" s="226">
        <v>0.28351999999999999</v>
      </c>
      <c r="L20" s="210">
        <v>1.10788</v>
      </c>
      <c r="M20" s="202">
        <v>0.32211299999999998</v>
      </c>
      <c r="N20" s="252">
        <v>1.16222</v>
      </c>
      <c r="O20" s="255">
        <v>0.33379700000000001</v>
      </c>
      <c r="P20" s="255">
        <v>1.5988899999999999</v>
      </c>
      <c r="Q20" s="57"/>
      <c r="R20" s="184"/>
      <c r="S20" s="34"/>
      <c r="T20" s="192"/>
      <c r="U20" s="34">
        <v>0.37485000000000002</v>
      </c>
      <c r="V20" s="34">
        <v>8.6223900000000006E-2</v>
      </c>
      <c r="W20" s="57">
        <v>0.33379799999999998</v>
      </c>
      <c r="X20" s="57">
        <v>0.42924499999999999</v>
      </c>
      <c r="Y20" s="183">
        <v>0.32211299999999998</v>
      </c>
      <c r="Z20" s="34">
        <v>0.60592000000000001</v>
      </c>
      <c r="AA20" s="187"/>
      <c r="AB20" s="187"/>
      <c r="AC20" s="187"/>
      <c r="AD20" s="187"/>
      <c r="AE20" s="188"/>
      <c r="AF20" s="189"/>
      <c r="AG20" s="190"/>
      <c r="AH20" s="189"/>
      <c r="AI20" s="57"/>
      <c r="AJ20" s="85"/>
      <c r="AK20" s="57"/>
      <c r="AL20" s="184"/>
      <c r="AM20" s="85"/>
      <c r="AN20" s="184"/>
      <c r="AO20" s="57"/>
      <c r="AP20" s="191"/>
      <c r="AQ20" s="187"/>
      <c r="AR20" s="192"/>
      <c r="AS20" s="57"/>
      <c r="AT20" s="184"/>
      <c r="AU20" s="34"/>
      <c r="AV20" s="85"/>
      <c r="AW20" s="57"/>
      <c r="AX20" s="184"/>
      <c r="AY20" s="187"/>
      <c r="AZ20" s="187"/>
    </row>
    <row r="21" spans="1:52" ht="21" x14ac:dyDescent="0.3">
      <c r="A21" s="224">
        <v>0.33579799999999999</v>
      </c>
      <c r="B21" s="224">
        <v>2.4928300000000001</v>
      </c>
      <c r="C21" s="198">
        <v>0.42350500000000002</v>
      </c>
      <c r="D21" s="200">
        <v>1.1487099999999999E-8</v>
      </c>
      <c r="E21" s="198">
        <v>0.37685000000000002</v>
      </c>
      <c r="F21" s="220">
        <v>0.110094</v>
      </c>
      <c r="G21" s="198">
        <v>0.35432399999999997</v>
      </c>
      <c r="H21" s="220">
        <v>0.36316399999999999</v>
      </c>
      <c r="I21" s="198">
        <v>0.37485000000000002</v>
      </c>
      <c r="J21" s="198">
        <v>0.40959800000000002</v>
      </c>
      <c r="K21" s="227">
        <v>0.299738</v>
      </c>
      <c r="L21" s="202">
        <v>1.0253300000000001</v>
      </c>
      <c r="M21" s="202">
        <v>0.37685000000000002</v>
      </c>
      <c r="N21" s="252">
        <v>0.75517199999999995</v>
      </c>
      <c r="O21" s="256">
        <v>0.35432399999999997</v>
      </c>
      <c r="P21" s="256">
        <v>1.4045799999999999</v>
      </c>
      <c r="Q21" s="57"/>
      <c r="R21" s="184"/>
      <c r="S21" s="34"/>
      <c r="T21" s="192"/>
      <c r="U21" s="34">
        <v>0.456955</v>
      </c>
      <c r="V21" s="34">
        <v>2.8659099999999999E-4</v>
      </c>
      <c r="W21" s="57">
        <v>0.35432399999999997</v>
      </c>
      <c r="X21" s="57">
        <v>0.315413</v>
      </c>
      <c r="Y21" s="183">
        <v>0.33579700000000001</v>
      </c>
      <c r="Z21" s="34">
        <v>0.51035799999999998</v>
      </c>
      <c r="AA21" s="187"/>
      <c r="AB21" s="187"/>
      <c r="AC21" s="187"/>
      <c r="AD21" s="187"/>
      <c r="AE21" s="188"/>
      <c r="AF21" s="189"/>
      <c r="AG21" s="190"/>
      <c r="AH21" s="189"/>
      <c r="AI21" s="57"/>
      <c r="AJ21" s="85"/>
      <c r="AK21" s="57"/>
      <c r="AL21" s="184"/>
      <c r="AM21" s="85"/>
      <c r="AN21" s="184"/>
      <c r="AO21" s="57"/>
      <c r="AP21" s="191"/>
      <c r="AQ21" s="187"/>
      <c r="AR21" s="192"/>
      <c r="AS21" s="57"/>
      <c r="AT21" s="184"/>
      <c r="AU21" s="34"/>
      <c r="AV21" s="85"/>
      <c r="AW21" s="57"/>
      <c r="AX21" s="184"/>
      <c r="AY21" s="187"/>
      <c r="AZ21" s="187"/>
    </row>
    <row r="22" spans="1:52" ht="22.5" customHeight="1" x14ac:dyDescent="0.3">
      <c r="A22" s="224">
        <v>0.34092899999999998</v>
      </c>
      <c r="B22" s="224">
        <v>2.4550399999999999</v>
      </c>
      <c r="C22" s="194"/>
      <c r="D22" s="196"/>
      <c r="E22" s="198">
        <v>0.458955</v>
      </c>
      <c r="F22" s="222">
        <v>8.0862800000000001E-5</v>
      </c>
      <c r="G22" s="198">
        <v>0.38511299999999998</v>
      </c>
      <c r="H22" s="220">
        <v>0.23327400000000001</v>
      </c>
      <c r="I22" s="198">
        <v>0.39537600000000001</v>
      </c>
      <c r="J22" s="198">
        <v>0.30673800000000001</v>
      </c>
      <c r="K22" s="227">
        <v>0.32406600000000002</v>
      </c>
      <c r="L22" s="202">
        <v>0.88696200000000003</v>
      </c>
      <c r="M22" s="202">
        <v>0.39737699999999998</v>
      </c>
      <c r="N22" s="252">
        <v>0.59149200000000002</v>
      </c>
      <c r="O22" s="256">
        <v>0.38511299999999998</v>
      </c>
      <c r="P22" s="256">
        <v>1.0780000000000001</v>
      </c>
      <c r="Q22" s="57"/>
      <c r="R22" s="184"/>
      <c r="S22" s="34"/>
      <c r="T22" s="192"/>
      <c r="U22" s="34">
        <v>0.48774499999999998</v>
      </c>
      <c r="V22" s="85">
        <v>2.77521E-6</v>
      </c>
      <c r="W22" s="57">
        <v>0.38511299999999998</v>
      </c>
      <c r="X22" s="57">
        <v>0.15581500000000001</v>
      </c>
      <c r="Y22" s="183">
        <v>0.35632399999999997</v>
      </c>
      <c r="Z22" s="34">
        <v>0.36457400000000001</v>
      </c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57"/>
      <c r="AT22" s="184"/>
      <c r="AU22" s="187"/>
      <c r="AV22" s="187"/>
      <c r="AW22" s="187"/>
      <c r="AX22" s="187"/>
      <c r="AY22" s="187"/>
      <c r="AZ22" s="187"/>
    </row>
    <row r="23" spans="1:52" ht="21.75" customHeight="1" x14ac:dyDescent="0.3">
      <c r="A23" s="258">
        <v>0.34862700000000002</v>
      </c>
      <c r="B23" s="258">
        <v>2.3950999999999998</v>
      </c>
      <c r="C23" s="194"/>
      <c r="D23" s="196"/>
      <c r="E23" s="216">
        <v>0.48974400000000001</v>
      </c>
      <c r="F23" s="223">
        <v>2.0857400000000001E-8</v>
      </c>
      <c r="G23" s="216">
        <v>0.43129699999999999</v>
      </c>
      <c r="H23" s="228">
        <v>8.0665299999999995E-2</v>
      </c>
      <c r="I23" s="198">
        <v>0.42616599999999999</v>
      </c>
      <c r="J23" s="198">
        <v>0.16946900000000001</v>
      </c>
      <c r="K23" s="227">
        <v>0.36055700000000002</v>
      </c>
      <c r="L23" s="202">
        <v>0.65867900000000001</v>
      </c>
      <c r="M23" s="204">
        <v>0.42816599999999999</v>
      </c>
      <c r="N23" s="204">
        <v>0.34814099999999998</v>
      </c>
      <c r="O23" s="256">
        <v>0.43129699999999999</v>
      </c>
      <c r="P23" s="256">
        <v>0.53700300000000001</v>
      </c>
      <c r="Q23" s="77"/>
      <c r="R23" s="63"/>
      <c r="S23" s="6"/>
      <c r="T23" s="55"/>
      <c r="U23" s="77"/>
      <c r="V23" s="87"/>
      <c r="W23" s="77">
        <v>0.43129699999999999</v>
      </c>
      <c r="X23" s="77">
        <v>-3.11144E-2</v>
      </c>
      <c r="Y23" s="150">
        <v>0.38711299999999998</v>
      </c>
      <c r="Z23" s="6">
        <v>0.14995700000000001</v>
      </c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77"/>
      <c r="AT23" s="63"/>
      <c r="AU23" s="187"/>
      <c r="AV23" s="187"/>
      <c r="AW23" s="187"/>
      <c r="AX23" s="187"/>
      <c r="AY23" s="187"/>
      <c r="AZ23" s="187"/>
    </row>
    <row r="24" spans="1:52" ht="23.25" customHeight="1" x14ac:dyDescent="0.3">
      <c r="A24" s="258">
        <v>0.36017199999999999</v>
      </c>
      <c r="B24" s="258">
        <v>2.2983600000000002</v>
      </c>
      <c r="C24" s="212"/>
      <c r="D24" s="213"/>
      <c r="E24" s="214"/>
      <c r="F24" s="215"/>
      <c r="G24" s="216">
        <v>0.50057399999999996</v>
      </c>
      <c r="H24" s="228">
        <v>1.4628300000000001E-4</v>
      </c>
      <c r="I24" s="216">
        <v>0.47234999999999999</v>
      </c>
      <c r="J24" s="216">
        <v>2.24934E-2</v>
      </c>
      <c r="K24" s="204">
        <v>0.37424099999999999</v>
      </c>
      <c r="L24" s="204">
        <v>0.57034399999999996</v>
      </c>
      <c r="M24" s="204">
        <v>0.47434999999999999</v>
      </c>
      <c r="N24" s="204">
        <v>1.53659E-2</v>
      </c>
      <c r="O24" s="256">
        <v>0.44861600000000001</v>
      </c>
      <c r="P24" s="256">
        <v>0.32741599999999998</v>
      </c>
      <c r="Q24" s="77"/>
      <c r="R24" s="63"/>
      <c r="S24" s="6"/>
      <c r="T24" s="55"/>
      <c r="U24" s="77"/>
      <c r="V24" s="87"/>
      <c r="W24" s="77">
        <v>0.50057399999999996</v>
      </c>
      <c r="X24" s="77">
        <v>-0.117414</v>
      </c>
      <c r="Y24" s="150">
        <v>0.43329699999999999</v>
      </c>
      <c r="Z24" s="6">
        <v>-0.13117000000000001</v>
      </c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77"/>
      <c r="AT24" s="63"/>
      <c r="AU24" s="187"/>
      <c r="AV24" s="187"/>
      <c r="AW24" s="187"/>
      <c r="AX24" s="187"/>
      <c r="AY24" s="187"/>
      <c r="AZ24" s="187"/>
    </row>
    <row r="25" spans="1:52" ht="21" x14ac:dyDescent="0.3">
      <c r="A25" s="258">
        <v>0.37749100000000002</v>
      </c>
      <c r="B25" s="258">
        <v>2.1389900000000002</v>
      </c>
      <c r="C25" s="212"/>
      <c r="D25" s="213"/>
      <c r="E25" s="214"/>
      <c r="F25" s="215"/>
      <c r="G25" s="216">
        <v>0.52655200000000002</v>
      </c>
      <c r="H25" s="223">
        <v>3.9427099999999998E-8</v>
      </c>
      <c r="I25" s="216">
        <v>0.54162600000000005</v>
      </c>
      <c r="J25" s="216">
        <v>-1.7673399999999999E-2</v>
      </c>
      <c r="K25" s="204">
        <v>0.39476699999999998</v>
      </c>
      <c r="L25" s="204">
        <v>0.438886</v>
      </c>
      <c r="M25" s="204">
        <v>0.49166900000000002</v>
      </c>
      <c r="N25" s="204">
        <v>-9.1234800000000005E-2</v>
      </c>
      <c r="O25" s="256">
        <v>0.47459499999999999</v>
      </c>
      <c r="P25" s="256">
        <v>1.5006500000000001E-2</v>
      </c>
      <c r="Q25" s="77"/>
      <c r="R25" s="63"/>
      <c r="S25" s="6"/>
      <c r="T25" s="55"/>
      <c r="U25" s="77"/>
      <c r="V25" s="87"/>
      <c r="W25" s="77">
        <v>0.52655200000000002</v>
      </c>
      <c r="X25" s="77">
        <v>-8.1147899999999995E-2</v>
      </c>
      <c r="Y25" s="150">
        <v>0.45061699999999999</v>
      </c>
      <c r="Z25" s="6">
        <v>-0.214924</v>
      </c>
      <c r="AS25" s="77"/>
      <c r="AT25" s="63"/>
    </row>
    <row r="26" spans="1:52" ht="21" x14ac:dyDescent="0.3">
      <c r="A26" s="258">
        <v>0.40347</v>
      </c>
      <c r="B26" s="258">
        <v>1.8717900000000001</v>
      </c>
      <c r="C26" s="212"/>
      <c r="D26" s="213"/>
      <c r="E26" s="214"/>
      <c r="F26" s="215"/>
      <c r="G26" s="214"/>
      <c r="H26" s="229"/>
      <c r="I26" s="216">
        <v>0.567604</v>
      </c>
      <c r="J26" s="217">
        <v>5.6863200000000001E-5</v>
      </c>
      <c r="K26" s="204">
        <v>0.42555599999999999</v>
      </c>
      <c r="L26" s="204">
        <v>0.25153199999999998</v>
      </c>
      <c r="M26" s="204">
        <v>0.51764699999999997</v>
      </c>
      <c r="N26" s="204">
        <v>-0.22515299999999999</v>
      </c>
      <c r="O26" s="256">
        <v>0.51356299999999999</v>
      </c>
      <c r="P26" s="256">
        <v>-0.42976599999999998</v>
      </c>
      <c r="Q26" s="77"/>
      <c r="R26" s="63"/>
      <c r="S26" s="6"/>
      <c r="T26" s="55"/>
      <c r="U26" s="77"/>
      <c r="V26" s="87"/>
      <c r="W26" s="77">
        <v>0.56552000000000002</v>
      </c>
      <c r="X26" s="77">
        <v>2.6702399999999998E-4</v>
      </c>
      <c r="Y26" s="150">
        <v>0.47659499999999999</v>
      </c>
      <c r="Z26" s="6">
        <v>-0.31020599999999998</v>
      </c>
      <c r="AS26" s="77"/>
      <c r="AT26" s="63"/>
    </row>
    <row r="27" spans="1:52" ht="21" x14ac:dyDescent="0.3">
      <c r="A27" s="258">
        <v>0.442438</v>
      </c>
      <c r="B27" s="258">
        <v>1.42181</v>
      </c>
      <c r="C27" s="212"/>
      <c r="D27" s="213"/>
      <c r="E27" s="214"/>
      <c r="F27" s="215"/>
      <c r="G27" s="214"/>
      <c r="H27" s="229"/>
      <c r="I27" s="216">
        <v>0.606572</v>
      </c>
      <c r="J27" s="217">
        <v>1.04692E-5</v>
      </c>
      <c r="K27" s="204">
        <v>0.47174100000000002</v>
      </c>
      <c r="L27" s="204">
        <v>1.76971E-2</v>
      </c>
      <c r="M27" s="204">
        <v>0.55661499999999997</v>
      </c>
      <c r="N27" s="204">
        <v>-0.354599</v>
      </c>
      <c r="O27" s="256">
        <v>0.52817499999999995</v>
      </c>
      <c r="P27" s="256">
        <v>-0.58327899999999999</v>
      </c>
      <c r="Q27" s="77"/>
      <c r="R27" s="63"/>
      <c r="S27" s="6"/>
      <c r="T27" s="55"/>
      <c r="U27" s="77"/>
      <c r="V27" s="87"/>
      <c r="W27" s="77"/>
      <c r="X27" s="63"/>
      <c r="Y27" s="150">
        <v>0.51556299999999999</v>
      </c>
      <c r="Z27" s="6">
        <v>-0.37591200000000002</v>
      </c>
      <c r="AS27" s="77"/>
      <c r="AT27" s="63"/>
    </row>
    <row r="28" spans="1:52" ht="21" x14ac:dyDescent="0.3">
      <c r="A28" s="258">
        <v>0.45705099999999999</v>
      </c>
      <c r="B28" s="258">
        <v>1.2423900000000001</v>
      </c>
      <c r="C28" s="212"/>
      <c r="D28" s="213"/>
      <c r="E28" s="214"/>
      <c r="F28" s="215"/>
      <c r="G28" s="214"/>
      <c r="H28" s="229"/>
      <c r="I28" s="216">
        <v>0.66502399999999995</v>
      </c>
      <c r="J28" s="217">
        <v>9.4366899999999999E-6</v>
      </c>
      <c r="K28" s="204">
        <v>0.48905999999999999</v>
      </c>
      <c r="L28" s="204">
        <v>-4.8417000000000002E-2</v>
      </c>
      <c r="M28" s="204">
        <v>0.57122799999999996</v>
      </c>
      <c r="N28" s="204">
        <v>-0.38255400000000001</v>
      </c>
      <c r="O28" s="256">
        <v>0.550095</v>
      </c>
      <c r="P28" s="256">
        <v>-0.79465399999999997</v>
      </c>
      <c r="Q28" s="77"/>
      <c r="R28" s="63"/>
      <c r="S28" s="6"/>
      <c r="T28" s="55"/>
      <c r="U28" s="77"/>
      <c r="V28" s="87"/>
      <c r="W28" s="339" t="s">
        <v>68</v>
      </c>
      <c r="X28" s="339"/>
      <c r="Y28" s="150">
        <v>0.57401500000000005</v>
      </c>
      <c r="Z28" s="6">
        <v>-0.26468700000000001</v>
      </c>
      <c r="AS28" s="77"/>
      <c r="AT28" s="63"/>
    </row>
    <row r="29" spans="1:52" ht="21" x14ac:dyDescent="0.3">
      <c r="A29" s="258">
        <v>0.47897000000000001</v>
      </c>
      <c r="B29" s="258">
        <v>0.96683600000000003</v>
      </c>
      <c r="C29" s="195"/>
      <c r="D29" s="197"/>
      <c r="E29" s="204"/>
      <c r="F29" s="208"/>
      <c r="G29" s="218"/>
      <c r="H29" s="205"/>
      <c r="J29" s="55"/>
      <c r="K29" s="204">
        <v>0.515038</v>
      </c>
      <c r="L29" s="204">
        <v>-0.119672</v>
      </c>
      <c r="M29" s="204">
        <v>0.59314699999999998</v>
      </c>
      <c r="N29" s="204">
        <v>-0.38966800000000001</v>
      </c>
      <c r="O29" s="256">
        <v>0.58297399999999999</v>
      </c>
      <c r="P29" s="256">
        <v>-1.0581199999999999</v>
      </c>
      <c r="Q29" s="77"/>
      <c r="R29" s="63"/>
      <c r="S29" s="6"/>
      <c r="T29" s="55"/>
      <c r="U29" s="77"/>
      <c r="V29" s="87"/>
      <c r="W29" s="77"/>
      <c r="X29" s="63"/>
      <c r="Y29" s="150">
        <v>0.66169199999999995</v>
      </c>
      <c r="Z29" s="6">
        <v>6.4539299999999996E-4</v>
      </c>
      <c r="AS29" s="77"/>
      <c r="AT29" s="63"/>
    </row>
    <row r="30" spans="1:52" ht="21" x14ac:dyDescent="0.3">
      <c r="E30" s="195"/>
      <c r="F30" s="197"/>
      <c r="G30" s="204"/>
      <c r="H30" s="208"/>
      <c r="I30" s="218"/>
      <c r="J30" s="205"/>
      <c r="L30" s="55"/>
      <c r="M30" s="204">
        <v>0.554006</v>
      </c>
      <c r="N30" s="204">
        <v>-0.15907499999999999</v>
      </c>
      <c r="O30" s="204">
        <v>0.62602599999999997</v>
      </c>
      <c r="P30" s="204">
        <v>-0.33249000000000001</v>
      </c>
      <c r="U30" s="6"/>
      <c r="V30" s="55"/>
      <c r="W30" s="77"/>
      <c r="X30" s="87"/>
      <c r="Y30" s="77"/>
      <c r="Z30" s="63"/>
      <c r="AA30" s="150">
        <v>0.69457100000000005</v>
      </c>
      <c r="AB30" s="87">
        <v>3.3550599999999997E-5</v>
      </c>
    </row>
    <row r="31" spans="1:52" ht="21" x14ac:dyDescent="0.3">
      <c r="E31" s="195"/>
      <c r="F31" s="197"/>
      <c r="G31" s="204"/>
      <c r="H31" s="208"/>
      <c r="I31" s="218"/>
      <c r="J31" s="205"/>
      <c r="L31" s="55"/>
      <c r="M31" s="204">
        <v>0.61245799999999995</v>
      </c>
      <c r="N31" s="204">
        <v>-4.3116700000000001E-2</v>
      </c>
      <c r="O31" s="204">
        <v>0.675346</v>
      </c>
      <c r="P31" s="204">
        <v>-0.108587</v>
      </c>
      <c r="W31" s="77"/>
      <c r="X31" s="87"/>
      <c r="Y31" s="77"/>
      <c r="Z31" s="63"/>
      <c r="AA31" s="150"/>
      <c r="AB31" s="87"/>
    </row>
    <row r="32" spans="1:52" ht="18.75" x14ac:dyDescent="0.3">
      <c r="E32" s="195"/>
      <c r="F32" s="197"/>
      <c r="G32" s="204"/>
      <c r="H32" s="208"/>
      <c r="I32" s="218"/>
      <c r="J32" s="205"/>
      <c r="L32" s="55"/>
      <c r="M32" s="204">
        <v>0.70013499999999995</v>
      </c>
      <c r="N32" s="211">
        <v>3.7828099999999998E-5</v>
      </c>
      <c r="O32" s="204">
        <v>0.74932399999999999</v>
      </c>
      <c r="P32" s="211">
        <v>7.1369600000000002E-5</v>
      </c>
      <c r="W32" s="77"/>
      <c r="X32" s="87"/>
      <c r="Y32" s="77"/>
      <c r="Z32" s="63"/>
      <c r="AA32" s="338" t="s">
        <v>67</v>
      </c>
      <c r="AB32" s="338"/>
    </row>
    <row r="33" spans="7:48" ht="21" x14ac:dyDescent="0.3">
      <c r="G33" s="204"/>
      <c r="H33" s="208"/>
      <c r="I33" s="218"/>
      <c r="J33" s="205"/>
      <c r="L33" s="55"/>
      <c r="N33" s="55"/>
      <c r="O33" s="219"/>
      <c r="P33" s="205"/>
      <c r="Y33" s="77"/>
      <c r="Z33" s="63"/>
      <c r="AA33" s="150"/>
      <c r="AB33" s="87"/>
    </row>
    <row r="34" spans="7:48" ht="21" x14ac:dyDescent="0.3">
      <c r="I34" s="218"/>
      <c r="J34" s="205"/>
      <c r="L34" s="55"/>
      <c r="N34" s="55"/>
      <c r="O34" s="219"/>
      <c r="P34" s="205"/>
      <c r="Y34" s="77"/>
      <c r="Z34" s="63"/>
      <c r="AA34" s="150"/>
      <c r="AB34" s="87"/>
    </row>
    <row r="35" spans="7:48" ht="21" x14ac:dyDescent="0.3">
      <c r="I35" s="218"/>
      <c r="J35" s="205"/>
      <c r="L35" s="55"/>
      <c r="N35" s="55"/>
      <c r="O35" s="219"/>
      <c r="P35" s="205"/>
      <c r="Q35" s="178">
        <v>0.80596800000000002</v>
      </c>
      <c r="R35" s="178">
        <v>-0.31210300000000002</v>
      </c>
      <c r="S35" s="257"/>
      <c r="T35" s="257"/>
      <c r="AS35" s="77"/>
      <c r="AT35" s="63"/>
      <c r="AU35" s="150"/>
      <c r="AV35" s="87"/>
    </row>
    <row r="36" spans="7:48" ht="21" x14ac:dyDescent="0.3">
      <c r="N36" s="55"/>
      <c r="O36" s="219"/>
      <c r="P36" s="205"/>
      <c r="Q36" s="178">
        <v>0.84107900000000002</v>
      </c>
      <c r="R36" s="178">
        <v>4.3703999999999998E-4</v>
      </c>
      <c r="S36" s="257"/>
      <c r="T36" s="257"/>
      <c r="AU36" s="150"/>
      <c r="AV36" s="87"/>
    </row>
    <row r="37" spans="7:48" ht="18.75" x14ac:dyDescent="0.3">
      <c r="N37" s="55"/>
      <c r="O37" s="219"/>
      <c r="P37" s="205"/>
      <c r="Q37" s="205"/>
      <c r="R37" s="205"/>
      <c r="S37" s="257"/>
      <c r="T37" s="257"/>
    </row>
    <row r="38" spans="7:48" ht="18.75" x14ac:dyDescent="0.3">
      <c r="N38" s="55"/>
      <c r="O38" s="219"/>
      <c r="P38" s="205"/>
      <c r="R38" s="55"/>
      <c r="S38" s="258"/>
      <c r="T38" s="258"/>
    </row>
    <row r="39" spans="7:48" ht="18.75" x14ac:dyDescent="0.3">
      <c r="N39" s="55"/>
      <c r="O39" s="219"/>
      <c r="P39" s="205"/>
      <c r="R39" s="55"/>
      <c r="S39" s="258"/>
      <c r="T39" s="258"/>
    </row>
    <row r="40" spans="7:48" ht="18.75" x14ac:dyDescent="0.3">
      <c r="S40" s="258"/>
      <c r="T40" s="258"/>
    </row>
    <row r="41" spans="7:48" ht="18.75" x14ac:dyDescent="0.3">
      <c r="S41" s="258"/>
      <c r="T41" s="258"/>
    </row>
    <row r="42" spans="7:48" ht="18.75" x14ac:dyDescent="0.3">
      <c r="S42" s="258"/>
      <c r="T42" s="257"/>
    </row>
    <row r="43" spans="7:48" ht="18.75" x14ac:dyDescent="0.3">
      <c r="S43" s="258"/>
      <c r="T43" s="257"/>
    </row>
  </sheetData>
  <mergeCells count="35">
    <mergeCell ref="AC3:AD3"/>
    <mergeCell ref="AA32:AB32"/>
    <mergeCell ref="W28:X28"/>
    <mergeCell ref="O3:P3"/>
    <mergeCell ref="A2:F2"/>
    <mergeCell ref="G2:M2"/>
    <mergeCell ref="AQ3:AR3"/>
    <mergeCell ref="AS3:AT3"/>
    <mergeCell ref="AU3:AV3"/>
    <mergeCell ref="Q3:R3"/>
    <mergeCell ref="S3:T3"/>
    <mergeCell ref="U3:V3"/>
    <mergeCell ref="W3:X3"/>
    <mergeCell ref="Y3:Z3"/>
    <mergeCell ref="AA3:AB3"/>
    <mergeCell ref="AW3:AX3"/>
    <mergeCell ref="AY3:AZ3"/>
    <mergeCell ref="AE3:AF3"/>
    <mergeCell ref="AG3:AH3"/>
    <mergeCell ref="AI3:AJ3"/>
    <mergeCell ref="AK3:AL3"/>
    <mergeCell ref="AM3:AN3"/>
    <mergeCell ref="AO3:AP3"/>
    <mergeCell ref="BQ2:BX2"/>
    <mergeCell ref="G3:H3"/>
    <mergeCell ref="A1:AZ1"/>
    <mergeCell ref="W2:AN2"/>
    <mergeCell ref="AO2:AZ2"/>
    <mergeCell ref="BC2:BP2"/>
    <mergeCell ref="A3:B3"/>
    <mergeCell ref="C3:D3"/>
    <mergeCell ref="E3:F3"/>
    <mergeCell ref="I3:J3"/>
    <mergeCell ref="K3:L3"/>
    <mergeCell ref="M3:N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topLeftCell="D1" zoomScale="166" zoomScaleNormal="166" workbookViewId="0">
      <selection activeCell="O1" sqref="O1:P11"/>
    </sheetView>
  </sheetViews>
  <sheetFormatPr defaultRowHeight="15" x14ac:dyDescent="0.25"/>
  <cols>
    <col min="2" max="2" width="13.140625" customWidth="1"/>
    <col min="5" max="5" width="13.28515625" customWidth="1"/>
    <col min="6" max="6" width="16" customWidth="1"/>
    <col min="8" max="8" width="14" customWidth="1"/>
    <col min="9" max="9" width="13" customWidth="1"/>
    <col min="10" max="10" width="14.140625" customWidth="1"/>
    <col min="14" max="14" width="17.28515625" customWidth="1"/>
  </cols>
  <sheetData>
    <row r="1" spans="1:16" ht="18.75" x14ac:dyDescent="0.3">
      <c r="A1" s="16">
        <v>0</v>
      </c>
      <c r="B1" s="16">
        <v>0</v>
      </c>
      <c r="C1" s="271">
        <f>A1/2.1395</f>
        <v>0</v>
      </c>
      <c r="D1" s="271">
        <f>B1/( 3.9903*1720)</f>
        <v>0</v>
      </c>
      <c r="E1" s="126">
        <v>0</v>
      </c>
      <c r="F1" s="58">
        <v>0</v>
      </c>
      <c r="G1" s="271">
        <f>E1/ 2.0387</f>
        <v>0</v>
      </c>
      <c r="H1" s="271">
        <f>F1/(2.7914*1720)</f>
        <v>0</v>
      </c>
      <c r="I1" s="50">
        <v>0</v>
      </c>
      <c r="J1" s="53">
        <v>0</v>
      </c>
      <c r="K1" s="271">
        <f>I1/(2.0387)</f>
        <v>0</v>
      </c>
      <c r="L1" s="271">
        <f>J1/(2.5*1720)</f>
        <v>0</v>
      </c>
      <c r="M1" s="126">
        <v>0</v>
      </c>
      <c r="N1" s="7">
        <v>0</v>
      </c>
      <c r="O1" s="272">
        <f>M1/ 1.4981</f>
        <v>0</v>
      </c>
      <c r="P1" s="272">
        <f>N1/(1.1976*1720)</f>
        <v>0</v>
      </c>
    </row>
    <row r="2" spans="1:16" ht="18.75" x14ac:dyDescent="0.3">
      <c r="A2" s="16">
        <v>3.5000000000000001E-3</v>
      </c>
      <c r="B2" s="17">
        <v>5.6108E-3</v>
      </c>
      <c r="C2" s="271">
        <f t="shared" ref="C2:C16" si="0">A2/2.1395</f>
        <v>1.635896237438654E-3</v>
      </c>
      <c r="D2" s="271">
        <f t="shared" ref="D2:D16" si="1">B2/( 3.9903*1720)</f>
        <v>8.1750570715380145E-7</v>
      </c>
      <c r="E2" s="126">
        <v>6.0000000000000001E-3</v>
      </c>
      <c r="F2" s="58">
        <v>8.4252000000000007E-3</v>
      </c>
      <c r="G2" s="271">
        <f t="shared" ref="G2:G13" si="2">E2/ 2.0387</f>
        <v>2.9430519448668271E-3</v>
      </c>
      <c r="H2" s="271">
        <f t="shared" ref="H2:H13" si="3">F2/(2.7914*1720)</f>
        <v>1.7548083732260717E-6</v>
      </c>
      <c r="I2" s="269">
        <v>3.0000000000000001E-3</v>
      </c>
      <c r="J2" s="54">
        <v>2.71762E-3</v>
      </c>
      <c r="K2" s="271">
        <f t="shared" ref="K2:K12" si="4">I2/(2.0387)</f>
        <v>1.4715259724334135E-3</v>
      </c>
      <c r="L2" s="271">
        <f t="shared" ref="L2:L12" si="5">J2/(2.5*1720)</f>
        <v>6.3200465116279071E-7</v>
      </c>
      <c r="M2" s="126">
        <v>7.4999999999999997E-3</v>
      </c>
      <c r="N2" s="7">
        <v>4.8035600000000001E-3</v>
      </c>
      <c r="O2" s="272">
        <f t="shared" ref="O2:O11" si="6">M2/ 1.4981</f>
        <v>5.0063413657299247E-3</v>
      </c>
      <c r="P2" s="272">
        <f t="shared" ref="P2:P11" si="7">N2/(1.1976*1720)</f>
        <v>2.3319701418340558E-6</v>
      </c>
    </row>
    <row r="3" spans="1:16" ht="18.75" x14ac:dyDescent="0.3">
      <c r="A3" s="16">
        <v>5.7499999999999999E-3</v>
      </c>
      <c r="B3" s="16">
        <v>8.8072900000000006E-3</v>
      </c>
      <c r="C3" s="271">
        <f t="shared" si="0"/>
        <v>2.6875438186492171E-3</v>
      </c>
      <c r="D3" s="271">
        <f t="shared" si="1"/>
        <v>1.2832412204246461E-6</v>
      </c>
      <c r="E3" s="126">
        <v>8.9999999999999993E-3</v>
      </c>
      <c r="F3" s="58">
        <v>1.2174000000000001E-2</v>
      </c>
      <c r="G3" s="271">
        <f t="shared" si="2"/>
        <v>4.4145779173002404E-3</v>
      </c>
      <c r="H3" s="271">
        <f t="shared" si="3"/>
        <v>2.5356118710124623E-6</v>
      </c>
      <c r="I3" s="269">
        <v>4.4999999999999997E-3</v>
      </c>
      <c r="J3" s="54">
        <v>3.8945899999999999E-3</v>
      </c>
      <c r="K3" s="271">
        <f t="shared" si="4"/>
        <v>2.2072889586501202E-3</v>
      </c>
      <c r="L3" s="271">
        <f t="shared" si="5"/>
        <v>9.0571860465116272E-7</v>
      </c>
      <c r="M3" s="126">
        <v>1.125E-2</v>
      </c>
      <c r="N3" s="7">
        <v>6.8865999999999997E-3</v>
      </c>
      <c r="O3" s="272">
        <f t="shared" si="6"/>
        <v>7.5095120485948862E-3</v>
      </c>
      <c r="P3" s="272">
        <f t="shared" si="7"/>
        <v>3.3432174426372127E-6</v>
      </c>
    </row>
    <row r="4" spans="1:16" ht="18.75" x14ac:dyDescent="0.3">
      <c r="A4" s="16">
        <v>9.1249999999999994E-3</v>
      </c>
      <c r="B4" s="16">
        <v>1.36895E-2</v>
      </c>
      <c r="C4" s="271">
        <f t="shared" si="0"/>
        <v>4.2650151904650617E-3</v>
      </c>
      <c r="D4" s="271">
        <f t="shared" si="1"/>
        <v>1.9945897872107302E-6</v>
      </c>
      <c r="E4" s="126">
        <v>1.35E-2</v>
      </c>
      <c r="F4" s="58">
        <v>1.7749299999999999E-2</v>
      </c>
      <c r="G4" s="271">
        <f t="shared" si="2"/>
        <v>6.6218668759503605E-3</v>
      </c>
      <c r="H4" s="271">
        <f t="shared" si="3"/>
        <v>3.6968404618171094E-6</v>
      </c>
      <c r="I4" s="269">
        <v>6.7499999999999999E-3</v>
      </c>
      <c r="J4" s="54">
        <v>5.7107299999999998E-3</v>
      </c>
      <c r="K4" s="271">
        <f t="shared" si="4"/>
        <v>3.3109334379751803E-3</v>
      </c>
      <c r="L4" s="271">
        <f t="shared" si="5"/>
        <v>1.3280767441860465E-6</v>
      </c>
      <c r="M4" s="126">
        <v>1.6875000000000001E-2</v>
      </c>
      <c r="N4" s="7">
        <v>9.7321899999999999E-3</v>
      </c>
      <c r="O4" s="272">
        <f t="shared" si="6"/>
        <v>1.1264268072892332E-2</v>
      </c>
      <c r="P4" s="272">
        <f t="shared" si="7"/>
        <v>4.7246576486305952E-6</v>
      </c>
    </row>
    <row r="5" spans="1:16" ht="18.75" x14ac:dyDescent="0.3">
      <c r="A5" s="16">
        <v>1.41875E-2</v>
      </c>
      <c r="B5" s="16">
        <v>2.0790300000000001E-2</v>
      </c>
      <c r="C5" s="271">
        <f t="shared" si="0"/>
        <v>6.6312222481888297E-3</v>
      </c>
      <c r="D5" s="271">
        <f t="shared" si="1"/>
        <v>3.0291917201539315E-6</v>
      </c>
      <c r="E5" s="126">
        <v>2.0250000000000001E-2</v>
      </c>
      <c r="F5" s="58">
        <v>2.5532699999999998E-2</v>
      </c>
      <c r="G5" s="271">
        <f t="shared" si="2"/>
        <v>9.9328003139255421E-3</v>
      </c>
      <c r="H5" s="271">
        <f t="shared" si="3"/>
        <v>5.3179741431739684E-6</v>
      </c>
      <c r="I5" s="269">
        <v>1.0125E-2</v>
      </c>
      <c r="J5" s="54">
        <v>8.3676099999999993E-3</v>
      </c>
      <c r="K5" s="271">
        <f t="shared" si="4"/>
        <v>4.9664001569627711E-3</v>
      </c>
      <c r="L5" s="271">
        <f t="shared" si="5"/>
        <v>1.9459558139534883E-6</v>
      </c>
      <c r="M5" s="126">
        <v>2.5312500000000002E-2</v>
      </c>
      <c r="N5" s="7">
        <v>1.3138499999999999E-2</v>
      </c>
      <c r="O5" s="272">
        <f t="shared" si="6"/>
        <v>1.6896402109338498E-2</v>
      </c>
      <c r="P5" s="272">
        <f t="shared" si="7"/>
        <v>6.3783089434683325E-6</v>
      </c>
    </row>
    <row r="6" spans="1:16" ht="18.75" x14ac:dyDescent="0.3">
      <c r="A6" s="16">
        <v>2.1781200000000001E-2</v>
      </c>
      <c r="B6" s="16">
        <v>3.0645499999999999E-2</v>
      </c>
      <c r="C6" s="271">
        <f t="shared" si="0"/>
        <v>1.0180509464828231E-2</v>
      </c>
      <c r="D6" s="271">
        <f t="shared" si="1"/>
        <v>4.4651156962611072E-6</v>
      </c>
      <c r="E6" s="126">
        <v>3.0374999999999999E-2</v>
      </c>
      <c r="F6" s="58">
        <v>3.5529999999999999E-2</v>
      </c>
      <c r="G6" s="271">
        <f t="shared" si="2"/>
        <v>1.4899200470888311E-2</v>
      </c>
      <c r="H6" s="271">
        <f t="shared" si="3"/>
        <v>7.4002209443956606E-6</v>
      </c>
      <c r="I6" s="269">
        <v>1.51875E-2</v>
      </c>
      <c r="J6" s="54">
        <v>1.21149E-2</v>
      </c>
      <c r="K6" s="271">
        <f t="shared" si="4"/>
        <v>7.4496002354441553E-3</v>
      </c>
      <c r="L6" s="271">
        <f t="shared" si="5"/>
        <v>2.8174186046511626E-6</v>
      </c>
      <c r="M6" s="126">
        <v>3.7968799999999997E-2</v>
      </c>
      <c r="N6" s="7">
        <v>1.6098500000000002E-2</v>
      </c>
      <c r="O6" s="272">
        <f t="shared" si="6"/>
        <v>2.5344636539616845E-2</v>
      </c>
      <c r="P6" s="272">
        <f t="shared" si="7"/>
        <v>7.8152914355843485E-6</v>
      </c>
    </row>
    <row r="7" spans="1:16" ht="18.75" x14ac:dyDescent="0.3">
      <c r="A7" s="16">
        <v>3.3171899999999997E-2</v>
      </c>
      <c r="B7" s="16">
        <v>4.3166799999999998E-2</v>
      </c>
      <c r="C7" s="271">
        <f t="shared" si="0"/>
        <v>1.550451039962608E-2</v>
      </c>
      <c r="D7" s="271">
        <f t="shared" si="1"/>
        <v>6.2894962143663499E-6</v>
      </c>
      <c r="E7" s="126">
        <v>4.5562499999999999E-2</v>
      </c>
      <c r="F7" s="58">
        <v>4.6105399999999998E-2</v>
      </c>
      <c r="G7" s="271">
        <f t="shared" si="2"/>
        <v>2.2348800706332467E-2</v>
      </c>
      <c r="H7" s="271">
        <f t="shared" si="3"/>
        <v>9.6028749431393109E-6</v>
      </c>
      <c r="I7" s="269">
        <v>2.2781300000000001E-2</v>
      </c>
      <c r="J7" s="54">
        <v>1.70084E-2</v>
      </c>
      <c r="K7" s="271">
        <f t="shared" si="4"/>
        <v>1.1174424878599107E-2</v>
      </c>
      <c r="L7" s="271">
        <f t="shared" si="5"/>
        <v>3.955441860465116E-6</v>
      </c>
      <c r="M7" s="126">
        <v>5.69531E-2</v>
      </c>
      <c r="N7" s="7">
        <v>1.6156799999999999E-2</v>
      </c>
      <c r="O7" s="272">
        <f t="shared" si="6"/>
        <v>3.8016888058207063E-2</v>
      </c>
      <c r="P7" s="272">
        <f t="shared" si="7"/>
        <v>7.8435941650743353E-6</v>
      </c>
    </row>
    <row r="8" spans="1:16" ht="18.75" x14ac:dyDescent="0.3">
      <c r="A8" s="16">
        <v>5.0257799999999998E-2</v>
      </c>
      <c r="B8" s="16">
        <v>5.6151E-2</v>
      </c>
      <c r="C8" s="271">
        <f t="shared" si="0"/>
        <v>2.349044169198411E-2</v>
      </c>
      <c r="D8" s="271">
        <f t="shared" si="1"/>
        <v>8.1813222646312659E-6</v>
      </c>
      <c r="E8" s="126">
        <v>6.8343699999999993E-2</v>
      </c>
      <c r="F8" s="162">
        <v>5.1910600000000001E-2</v>
      </c>
      <c r="G8" s="271">
        <f t="shared" si="2"/>
        <v>3.3523176534065821E-2</v>
      </c>
      <c r="H8" s="271">
        <f t="shared" si="3"/>
        <v>1.0811987316525342E-5</v>
      </c>
      <c r="I8" s="269">
        <v>3.4171899999999998E-2</v>
      </c>
      <c r="J8" s="54">
        <v>2.2449500000000001E-2</v>
      </c>
      <c r="K8" s="271">
        <f t="shared" si="4"/>
        <v>1.6761612792465786E-2</v>
      </c>
      <c r="L8" s="271">
        <f t="shared" si="5"/>
        <v>5.2208139534883723E-6</v>
      </c>
      <c r="M8" s="126">
        <v>8.5429699999999997E-2</v>
      </c>
      <c r="N8" s="7">
        <v>9.81747E-3</v>
      </c>
      <c r="O8" s="272">
        <f t="shared" si="6"/>
        <v>5.7025365462919697E-2</v>
      </c>
      <c r="P8" s="272">
        <f t="shared" si="7"/>
        <v>4.7660582793493968E-6</v>
      </c>
    </row>
    <row r="9" spans="1:16" ht="18.75" x14ac:dyDescent="0.3">
      <c r="A9" s="16">
        <v>7.5886700000000001E-2</v>
      </c>
      <c r="B9" s="16">
        <v>6.2818600000000002E-2</v>
      </c>
      <c r="C9" s="271">
        <f t="shared" si="0"/>
        <v>3.5469362000467401E-2</v>
      </c>
      <c r="D9" s="271">
        <f t="shared" si="1"/>
        <v>9.1528060197140867E-6</v>
      </c>
      <c r="E9" s="126">
        <v>0.102516</v>
      </c>
      <c r="F9" s="58">
        <v>4.21249E-2</v>
      </c>
      <c r="G9" s="271">
        <f t="shared" si="2"/>
        <v>5.0284985529994601E-2</v>
      </c>
      <c r="H9" s="271">
        <f t="shared" si="3"/>
        <v>8.773812757122792E-6</v>
      </c>
      <c r="I9" s="269">
        <v>5.1257799999999999E-2</v>
      </c>
      <c r="J9" s="102">
        <v>2.6274700000000002E-2</v>
      </c>
      <c r="K9" s="271">
        <f t="shared" si="4"/>
        <v>2.5142394663265805E-2</v>
      </c>
      <c r="L9" s="271">
        <f t="shared" si="5"/>
        <v>6.1103953488372095E-6</v>
      </c>
      <c r="M9" s="126">
        <v>0.12814500000000001</v>
      </c>
      <c r="N9" s="7">
        <v>2.04212E-4</v>
      </c>
      <c r="O9" s="272">
        <f t="shared" si="6"/>
        <v>8.5538348574861492E-2</v>
      </c>
      <c r="P9" s="272">
        <f t="shared" si="7"/>
        <v>9.9138198878376913E-8</v>
      </c>
    </row>
    <row r="10" spans="1:16" ht="18.75" x14ac:dyDescent="0.3">
      <c r="A10" s="12">
        <v>0.11433</v>
      </c>
      <c r="B10" s="12">
        <v>4.9853599999999998E-2</v>
      </c>
      <c r="C10" s="271">
        <f t="shared" si="0"/>
        <v>5.3437719093246086E-2</v>
      </c>
      <c r="D10" s="271">
        <f t="shared" si="1"/>
        <v>7.2637774510163887E-6</v>
      </c>
      <c r="E10" s="126">
        <v>0.15377299999999999</v>
      </c>
      <c r="F10" s="57">
        <v>6.1220700000000003E-3</v>
      </c>
      <c r="G10" s="271">
        <f t="shared" si="2"/>
        <v>7.5426987786334429E-2</v>
      </c>
      <c r="H10" s="271">
        <f t="shared" si="3"/>
        <v>1.2751103472292808E-6</v>
      </c>
      <c r="I10" s="50">
        <v>7.6886700000000002E-2</v>
      </c>
      <c r="J10" s="53">
        <v>2.38785E-2</v>
      </c>
      <c r="K10" s="271">
        <f t="shared" si="4"/>
        <v>3.771359199489871E-2</v>
      </c>
      <c r="L10" s="271">
        <f t="shared" si="5"/>
        <v>5.5531395348837212E-6</v>
      </c>
      <c r="M10" s="126">
        <v>0.192217</v>
      </c>
      <c r="N10" s="89">
        <v>1.19E-6</v>
      </c>
      <c r="O10" s="272">
        <f t="shared" si="6"/>
        <v>0.12830718910620117</v>
      </c>
      <c r="P10" s="272">
        <f t="shared" si="7"/>
        <v>5.7770579919528982E-10</v>
      </c>
    </row>
    <row r="11" spans="1:16" ht="18.75" x14ac:dyDescent="0.3">
      <c r="A11" s="12">
        <v>0.17199500000000001</v>
      </c>
      <c r="B11" s="116">
        <v>6.0916399999999997E-3</v>
      </c>
      <c r="C11" s="271">
        <f t="shared" si="0"/>
        <v>8.0390278102360366E-2</v>
      </c>
      <c r="D11" s="271">
        <f t="shared" si="1"/>
        <v>8.8756513615284501E-7</v>
      </c>
      <c r="E11" s="126">
        <v>0.23066</v>
      </c>
      <c r="F11" s="58">
        <v>-1.8926599999999998E-2</v>
      </c>
      <c r="G11" s="271">
        <f t="shared" si="2"/>
        <v>0.11314072693383039</v>
      </c>
      <c r="H11" s="271">
        <f t="shared" si="3"/>
        <v>-3.9420495841879795E-6</v>
      </c>
      <c r="I11" s="270">
        <v>0.11533</v>
      </c>
      <c r="J11" s="59">
        <v>1.0465800000000001E-2</v>
      </c>
      <c r="K11" s="271">
        <f t="shared" si="4"/>
        <v>5.6570363466915193E-2</v>
      </c>
      <c r="L11" s="271">
        <f t="shared" si="5"/>
        <v>2.4339069767441862E-6</v>
      </c>
      <c r="M11" s="126">
        <v>0.21624399999999999</v>
      </c>
      <c r="N11" s="89">
        <v>9.7600000000000004E-11</v>
      </c>
      <c r="O11" s="272">
        <f t="shared" si="6"/>
        <v>0.14434550430545356</v>
      </c>
      <c r="P11" s="272">
        <f t="shared" si="7"/>
        <v>4.7381584875176716E-14</v>
      </c>
    </row>
    <row r="12" spans="1:16" ht="18.75" x14ac:dyDescent="0.3">
      <c r="A12" s="12">
        <v>0.25849299999999997</v>
      </c>
      <c r="B12" s="116">
        <v>-1.42901E-2</v>
      </c>
      <c r="C12" s="271">
        <f t="shared" si="0"/>
        <v>0.12081935031549426</v>
      </c>
      <c r="D12" s="271">
        <f t="shared" si="1"/>
        <v>-2.082098507485303E-6</v>
      </c>
      <c r="E12" s="273">
        <v>0.25949299999999997</v>
      </c>
      <c r="F12" s="90">
        <v>-1.52626E-3</v>
      </c>
      <c r="G12" s="271">
        <f t="shared" si="2"/>
        <v>0.12728356305488792</v>
      </c>
      <c r="H12" s="271">
        <f t="shared" si="3"/>
        <v>-3.178908308075801E-7</v>
      </c>
      <c r="I12" s="270">
        <v>0.17299500000000001</v>
      </c>
      <c r="J12" s="59">
        <v>-1.4859300000000001E-4</v>
      </c>
      <c r="K12" s="271">
        <f t="shared" si="4"/>
        <v>8.4855545200372792E-2</v>
      </c>
      <c r="L12" s="271">
        <f t="shared" si="5"/>
        <v>-3.4556511627906976E-8</v>
      </c>
    </row>
    <row r="13" spans="1:16" ht="18.75" x14ac:dyDescent="0.3">
      <c r="A13" s="12">
        <v>0.29092899999999999</v>
      </c>
      <c r="B13" s="116">
        <v>1.7404299999999999E-5</v>
      </c>
      <c r="C13" s="271">
        <f t="shared" si="0"/>
        <v>0.13597990184622574</v>
      </c>
      <c r="D13" s="271">
        <f t="shared" si="1"/>
        <v>2.5358441896016443E-9</v>
      </c>
      <c r="E13" s="142">
        <v>0.30274099999999998</v>
      </c>
      <c r="F13" s="114">
        <v>5.9084199999999999E-8</v>
      </c>
      <c r="G13" s="271">
        <f t="shared" si="2"/>
        <v>0.148497081473488</v>
      </c>
      <c r="H13" s="271">
        <f t="shared" si="3"/>
        <v>1.2306111295324011E-11</v>
      </c>
    </row>
    <row r="14" spans="1:16" ht="15.75" x14ac:dyDescent="0.25">
      <c r="A14" s="12">
        <v>0.339584</v>
      </c>
      <c r="B14" s="116">
        <v>2.2416800000000001E-9</v>
      </c>
      <c r="C14" s="271">
        <f t="shared" si="0"/>
        <v>0.15872119654124794</v>
      </c>
      <c r="D14" s="271">
        <f t="shared" si="1"/>
        <v>3.2661762914602797E-13</v>
      </c>
    </row>
    <row r="15" spans="1:16" ht="15.75" x14ac:dyDescent="0.25">
      <c r="A15" s="12">
        <v>0.41256700000000002</v>
      </c>
      <c r="B15" s="116">
        <v>1.2331599999999999E-9</v>
      </c>
      <c r="C15" s="271">
        <f t="shared" si="0"/>
        <v>0.19283337228324376</v>
      </c>
      <c r="D15" s="271">
        <f t="shared" si="1"/>
        <v>1.7967408174124576E-13</v>
      </c>
    </row>
    <row r="16" spans="1:16" ht="15.75" x14ac:dyDescent="0.25">
      <c r="A16" s="12">
        <v>0.5</v>
      </c>
      <c r="B16" s="116">
        <v>8.7163699999999998E-10</v>
      </c>
      <c r="C16" s="271">
        <f t="shared" si="0"/>
        <v>0.23369946249123627</v>
      </c>
      <c r="D16" s="271">
        <f t="shared" si="1"/>
        <v>1.2699939795865438E-13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S</dc:creator>
  <cp:lastModifiedBy>SC20D053-SACHIN CHANDRAN C 2020-PHD-AerospaceEngg</cp:lastModifiedBy>
  <dcterms:created xsi:type="dcterms:W3CDTF">2026-06-15T04:02:49Z</dcterms:created>
  <dcterms:modified xsi:type="dcterms:W3CDTF">2026-10-01T17:25:15Z</dcterms:modified>
</cp:coreProperties>
</file>